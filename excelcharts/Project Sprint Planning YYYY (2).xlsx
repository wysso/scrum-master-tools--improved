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iday_PTO_AltSchedule" sheetId="1" r:id="rId4"/>
    <sheet state="visible" name="Baseline" sheetId="2" r:id="rId5"/>
    <sheet state="visible" name="Baseline_w_Activity" sheetId="3" r:id="rId6"/>
  </sheets>
  <definedNames>
    <definedName name="PTO_Dates">Holiday_PTO_AltSchedule!$B$2:$B$996</definedName>
    <definedName name="PTO_Names">Holiday_PTO_AltSchedule!$A$2:$A$491</definedName>
    <definedName hidden="1" localSheetId="0" name="_xlnm._FilterDatabase">Holiday_PTO_AltSchedule!$A$1:$D$134</definedName>
  </definedNames>
  <calcPr/>
  <extLst>
    <ext uri="GoogleSheetsCustomDataVersion2">
      <go:sheetsCustomData xmlns:go="http://customooxmlschemas.google.com/" r:id="rId7" roundtripDataChecksum="rxbQHkq0rgpmyyKHUf6wnc0FfdTbO40jKpyooAMvdk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V4">
      <text>
        <t xml:space="preserve">======
ID#AAAA5Swd8vk
tc={327F26F6-BCD4-47AF-815B-5824BB986276}    (2023-09-14 15:01:42)
[Threaded comment]
Your version of Excel allows you to read this threaded comment; however, any edits to it will get removed if the file is opened in a newer version of Excel. Learn more: https://go.microsoft.com/fwlink/?linkid=870924
Comment:
    Expected Daily % Complete From Sprint Planning</t>
      </text>
    </comment>
    <comment authorId="0" ref="C7">
      <text>
        <t xml:space="preserve">======
ID#AAAA5Swd8vg
tc={5D91BF93-EE84-47C2-9B48-77A5C7806829}    (2023-09-14 15:01:42)
[Threaded comment]
Your version of Excel allows you to read this threaded comment; however, any edits to it will get removed if the file is opened in a newer version of Excel. Learn more: https://go.microsoft.com/fwlink/?linkid=870924
Comment:
    Block out the last day, no progress expected</t>
      </text>
    </comment>
  </commentList>
  <extLst>
    <ext uri="GoogleSheetsCustomDataVersion2">
      <go:sheetsCustomData xmlns:go="http://customooxmlschemas.google.com/" r:id="rId1" roundtripDataSignature="AMtx7mi4F4XAPTJJkP1E9HYJwgLZvYv8+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2">
      <text>
        <t xml:space="preserve">======
ID#AAAA5Swd8vw
tc={743FBD6C-AA5D-4438-9A67-71EBE88A3F56}    (2023-09-14 15:01:42)
[Threaded comment]
Your version of Excel allows you to read this threaded comment; however, any edits to it will get removed if the file is opened in a newer version of Excel. Learn more: https://go.microsoft.com/fwlink/?linkid=870924
Comment:
    Dev: 119.5, Test 246.5, Unassigned 7.5, Design 1, Requirements 2</t>
      </text>
    </comment>
    <comment authorId="0" ref="AN5">
      <text>
        <t xml:space="preserve">======
ID#AAAA5Swd8vs
tc={1E11BAE9-A9B0-41D8-B8E4-FE2DF1704407}    (2023-09-14 15:01:42)
[Threaded comment]
Your version of Excel allows you to read this threaded comment; however, any edits to it will get removed if the file is opened in a newer version of Excel. Learn more: https://go.microsoft.com/fwlink/?linkid=870924
Comment:
    Unassigned (collab): 4 , Documentation: 8, Development: 109, Requirements: 2, Testing: 228.5</t>
      </text>
    </comment>
    <comment authorId="0" ref="C7">
      <text>
        <t xml:space="preserve">======
ID#AAAA5Swd8vo
tc={D23E5075-855D-46EF-8D73-1EC3D82193EA}    (2023-09-14 15:01:42)
[Threaded comment]
Your version of Excel allows you to read this threaded comment; however, any edits to it will get removed if the file is opened in a newer version of Excel. Learn more: https://go.microsoft.com/fwlink/?linkid=870924
Comment:
    Block out the last day, no progress expected</t>
      </text>
    </comment>
  </commentList>
  <extLst>
    <ext uri="GoogleSheetsCustomDataVersion2">
      <go:sheetsCustomData xmlns:go="http://customooxmlschemas.google.com/" r:id="rId1" roundtripDataSignature="AMtx7miQ8kRij0Gi1rsJh8lHIWqD54jQ0w=="/>
    </ext>
  </extLst>
</comments>
</file>

<file path=xl/sharedStrings.xml><?xml version="1.0" encoding="utf-8"?>
<sst xmlns="http://schemas.openxmlformats.org/spreadsheetml/2006/main" count="221" uniqueCount="92">
  <si>
    <t>Team Member</t>
  </si>
  <si>
    <t>Date</t>
  </si>
  <si>
    <t>Day of the Week</t>
  </si>
  <si>
    <t>Type</t>
  </si>
  <si>
    <t>Capacity</t>
  </si>
  <si>
    <t>Week 1</t>
  </si>
  <si>
    <t>Week 2</t>
  </si>
  <si>
    <t>Resource Total</t>
  </si>
  <si>
    <t>Committed (hours)</t>
  </si>
  <si>
    <t>Weeks</t>
  </si>
  <si>
    <t>Days</t>
  </si>
  <si>
    <t>Hours</t>
  </si>
  <si>
    <t>Minutes</t>
  </si>
  <si>
    <t>Categories Scale
1: &lt;4 hours
3: &gt;= 4 hours and &lt;1 day
5: &gt;= 1 day and &lt; 2 days
7: &gt;= 2 days</t>
  </si>
  <si>
    <t>Planning</t>
  </si>
  <si>
    <t>Last Day of Sprint</t>
  </si>
  <si>
    <t>Start Date</t>
  </si>
  <si>
    <t>Committed</t>
  </si>
  <si>
    <t>Time (Hours)</t>
  </si>
  <si>
    <t>Resources</t>
  </si>
  <si>
    <t>Group</t>
  </si>
  <si>
    <t>Location</t>
  </si>
  <si>
    <t>Daily Hours</t>
  </si>
  <si>
    <t>Primary Role</t>
  </si>
  <si>
    <t>Average Daily Hours</t>
  </si>
  <si>
    <t>weeks</t>
  </si>
  <si>
    <t>days</t>
  </si>
  <si>
    <t>hours</t>
  </si>
  <si>
    <t>minutes</t>
  </si>
  <si>
    <t>Total Hours</t>
  </si>
  <si>
    <t>Sprint Complete %</t>
  </si>
  <si>
    <t>Sprint Planned %</t>
  </si>
  <si>
    <t>Daily Hours Complete</t>
  </si>
  <si>
    <t>Daily Hours Planned</t>
  </si>
  <si>
    <t>Daily
Complete %</t>
  </si>
  <si>
    <t>Daily Planned %</t>
  </si>
  <si>
    <t>Total
Story Points</t>
  </si>
  <si>
    <t>Completed Story Points</t>
  </si>
  <si>
    <t>Story Points Pct%</t>
  </si>
  <si>
    <t>Recorded</t>
  </si>
  <si>
    <t>Comments</t>
  </si>
  <si>
    <t>Project Meetings</t>
  </si>
  <si>
    <t>Underestimated / Discovered work</t>
  </si>
  <si>
    <t>Policy Deployment</t>
  </si>
  <si>
    <t>Unplanned Absence</t>
  </si>
  <si>
    <t>Technical Issues (IT type issues)</t>
  </si>
  <si>
    <t>Work on Other Projects</t>
  </si>
  <si>
    <t>Time Before Sprint Planning</t>
  </si>
  <si>
    <t>Work on non-sprint task</t>
  </si>
  <si>
    <t>Training</t>
  </si>
  <si>
    <t>Catch Up from PTO</t>
  </si>
  <si>
    <t>Thycotic</t>
  </si>
  <si>
    <t>Work in the Backlog</t>
  </si>
  <si>
    <t>Security Form</t>
  </si>
  <si>
    <t>PTO / All Day Activities / Holidays</t>
  </si>
  <si>
    <t>N/A</t>
  </si>
  <si>
    <t>Dev</t>
  </si>
  <si>
    <t>SAC</t>
  </si>
  <si>
    <t>Test</t>
  </si>
  <si>
    <t>IDC</t>
  </si>
  <si>
    <t>PL</t>
  </si>
  <si>
    <t>Daily Total</t>
  </si>
  <si>
    <t>Expected Daily % Complete</t>
  </si>
  <si>
    <t>One Time Capacity Decreases</t>
  </si>
  <si>
    <t>Non Primary Role %</t>
  </si>
  <si>
    <t>Sprint Capacity in Hours</t>
  </si>
  <si>
    <t>Dev 80% in Hours</t>
  </si>
  <si>
    <t>Test 80% in Hours</t>
  </si>
  <si>
    <t>1/2 Day PTO</t>
  </si>
  <si>
    <t xml:space="preserve">weeks </t>
  </si>
  <si>
    <t>Project Training (checklist)</t>
  </si>
  <si>
    <t>Test Development Training (Every other Sprint)</t>
  </si>
  <si>
    <t>Test Team SME/Guidance</t>
  </si>
  <si>
    <t>Dev Support for other projects</t>
  </si>
  <si>
    <t>Onboarding / Knowledge Transfer</t>
  </si>
  <si>
    <t>Total</t>
  </si>
  <si>
    <t>Dev Hours</t>
  </si>
  <si>
    <t>Test Hours</t>
  </si>
  <si>
    <t>Misc Hours</t>
  </si>
  <si>
    <t>Daily Dev Hours Complete</t>
  </si>
  <si>
    <t>Daily Dev Hours Planned</t>
  </si>
  <si>
    <t>Daily Test Hours Complete</t>
  </si>
  <si>
    <t>Daily Test Hours Planned</t>
  </si>
  <si>
    <t>Daily Dev
Complete %</t>
  </si>
  <si>
    <t>Daily Dev Planned %</t>
  </si>
  <si>
    <t>Daily Test
Complete %</t>
  </si>
  <si>
    <t>Daily Test Planned %</t>
  </si>
  <si>
    <t>Story Points %</t>
  </si>
  <si>
    <t>Daily Dev</t>
  </si>
  <si>
    <t>Daily Test</t>
  </si>
  <si>
    <t>Expected Dev % Complete</t>
  </si>
  <si>
    <t>Expected Test % 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</si>
</sst>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"/>
    <numFmt numFmtId="165" formatCode="0.0%"/>
    <numFmt numFmtId="166" formatCode="[$-409]d\-mmm\-yyyy"/>
    <numFmt numFmtId="167" formatCode="mm/dd/yy"/>
    <numFmt numFmtId="168" formatCode="dd\-mmm\-yyyy\ hh:mm\ AM/PM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3F3F3F"/>
      <name val="Calibri"/>
    </font>
    <font/>
    <font>
      <sz val="11.0"/>
      <color rgb="FF3F3F76"/>
      <name val="Calibri"/>
    </font>
    <font>
      <b/>
      <sz val="11.0"/>
      <color rgb="FFFA7D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37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3F3F3F"/>
      </right>
      <top style="thin">
        <color rgb="FF3F3F3F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3F3F3F"/>
      </right>
      <top style="thin">
        <color rgb="FF3F3F3F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</border>
    <border>
      <left/>
      <right style="thin">
        <color rgb="FF3F3F3F"/>
      </right>
      <top style="thin">
        <color rgb="FF3F3F3F"/>
      </top>
      <bottom style="thin">
        <color rgb="FF000000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2" xfId="0" applyAlignment="1" applyBorder="1" applyFill="1" applyFont="1" applyNumberFormat="1">
      <alignment shrinkToFit="0" wrapText="1"/>
    </xf>
    <xf borderId="2" fillId="0" fontId="3" numFmtId="0" xfId="0" applyAlignment="1" applyBorder="1" applyFont="1">
      <alignment horizontal="right" shrinkToFit="0" wrapText="1"/>
    </xf>
    <xf borderId="3" fillId="0" fontId="5" numFmtId="0" xfId="0" applyBorder="1" applyFont="1"/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0" fillId="0" fontId="2" numFmtId="165" xfId="0" applyFont="1" applyNumberFormat="1"/>
    <xf borderId="0" fillId="0" fontId="3" numFmtId="0" xfId="0" applyAlignment="1" applyFont="1">
      <alignment horizontal="left" shrinkToFit="0" vertical="top" wrapText="1"/>
    </xf>
    <xf borderId="5" fillId="3" fontId="6" numFmtId="14" xfId="0" applyAlignment="1" applyBorder="1" applyFill="1" applyFont="1" applyNumberFormat="1">
      <alignment shrinkToFit="0" wrapText="1"/>
    </xf>
    <xf borderId="5" fillId="3" fontId="6" numFmtId="0" xfId="0" applyAlignment="1" applyBorder="1" applyFon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167" xfId="0" applyAlignment="1" applyFont="1" applyNumberFormat="1">
      <alignment shrinkToFit="0" wrapText="1"/>
    </xf>
    <xf borderId="3" fillId="0" fontId="6" numFmtId="14" xfId="0" applyAlignment="1" applyBorder="1" applyFont="1" applyNumberFormat="1">
      <alignment shrinkToFit="0" wrapText="1"/>
    </xf>
    <xf borderId="3" fillId="0" fontId="3" numFmtId="0" xfId="0" applyAlignment="1" applyBorder="1" applyFont="1">
      <alignment horizontal="right" shrinkToFit="0" wrapText="1"/>
    </xf>
    <xf borderId="3" fillId="0" fontId="6" numFmtId="0" xfId="0" applyAlignment="1" applyBorder="1" applyFont="1">
      <alignment shrinkToFit="0" wrapText="1"/>
    </xf>
    <xf borderId="0" fillId="0" fontId="2" numFmtId="165" xfId="0" applyAlignment="1" applyFont="1" applyNumberFormat="1">
      <alignment shrinkToFit="0" wrapText="1"/>
    </xf>
    <xf borderId="6" fillId="0" fontId="3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2" fontId="7" numFmtId="0" xfId="0" applyAlignment="1" applyBorder="1" applyFont="1">
      <alignment shrinkToFit="0" wrapText="1"/>
    </xf>
    <xf borderId="8" fillId="3" fontId="6" numFmtId="0" xfId="0" applyAlignment="1" applyBorder="1" applyFont="1">
      <alignment shrinkToFit="0" wrapText="1"/>
    </xf>
    <xf borderId="8" fillId="2" fontId="7" numFmtId="2" xfId="0" applyAlignment="1" applyBorder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8" fillId="3" fontId="6" numFmtId="0" xfId="0" applyBorder="1" applyFont="1"/>
    <xf borderId="8" fillId="3" fontId="6" numFmtId="2" xfId="0" applyBorder="1" applyFont="1" applyNumberFormat="1"/>
    <xf borderId="8" fillId="3" fontId="6" numFmtId="1" xfId="0" applyBorder="1" applyFont="1" applyNumberFormat="1"/>
    <xf borderId="0" fillId="0" fontId="2" numFmtId="2" xfId="0" applyAlignment="1" applyFont="1" applyNumberFormat="1">
      <alignment shrinkToFit="0" wrapText="1"/>
    </xf>
    <xf borderId="1" fillId="2" fontId="4" numFmtId="9" xfId="0" applyAlignment="1" applyBorder="1" applyFont="1" applyNumberFormat="1">
      <alignment horizontal="right" shrinkToFit="0" wrapText="1"/>
    </xf>
    <xf borderId="9" fillId="4" fontId="2" numFmtId="9" xfId="0" applyAlignment="1" applyBorder="1" applyFill="1" applyFont="1" applyNumberFormat="1">
      <alignment horizontal="right" shrinkToFit="0" wrapText="1"/>
    </xf>
    <xf borderId="9" fillId="4" fontId="2" numFmtId="2" xfId="0" applyAlignment="1" applyBorder="1" applyFont="1" applyNumberFormat="1">
      <alignment horizontal="right" shrinkToFit="0" wrapText="1"/>
    </xf>
    <xf borderId="8" fillId="2" fontId="7" numFmtId="9" xfId="0" applyAlignment="1" applyBorder="1" applyFont="1" applyNumberFormat="1">
      <alignment horizontal="right" shrinkToFit="0" wrapText="1"/>
    </xf>
    <xf borderId="8" fillId="2" fontId="7" numFmtId="165" xfId="0" applyBorder="1" applyFont="1" applyNumberFormat="1"/>
    <xf borderId="8" fillId="3" fontId="6" numFmtId="168" xfId="0" applyAlignment="1" applyBorder="1" applyFont="1" applyNumberFormat="1">
      <alignment shrinkToFit="0" wrapText="1"/>
    </xf>
    <xf borderId="8" fillId="3" fontId="6" numFmtId="22" xfId="0" applyAlignment="1" applyBorder="1" applyFont="1" applyNumberFormat="1">
      <alignment shrinkToFit="0" wrapText="1"/>
    </xf>
    <xf borderId="10" fillId="0" fontId="2" numFmtId="0" xfId="0" applyAlignment="1" applyBorder="1" applyFont="1">
      <alignment shrinkToFit="0" wrapText="1"/>
    </xf>
    <xf borderId="0" fillId="0" fontId="2" numFmtId="167" xfId="0" applyAlignment="1" applyFont="1" applyNumberFormat="1">
      <alignment shrinkToFit="0" wrapText="1"/>
    </xf>
    <xf borderId="11" fillId="0" fontId="2" numFmtId="0" xfId="0" applyAlignment="1" applyBorder="1" applyFont="1">
      <alignment shrinkToFit="0" wrapText="1"/>
    </xf>
    <xf borderId="8" fillId="3" fontId="6" numFmtId="2" xfId="0" applyAlignment="1" applyBorder="1" applyFont="1" applyNumberFormat="1">
      <alignment shrinkToFit="0" wrapText="1"/>
    </xf>
    <xf borderId="8" fillId="3" fontId="6" numFmtId="1" xfId="0" applyAlignment="1" applyBorder="1" applyFont="1" applyNumberFormat="1">
      <alignment shrinkToFit="0" wrapText="1"/>
    </xf>
    <xf borderId="10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9" xfId="0" applyAlignment="1" applyFont="1" applyNumberFormat="1">
      <alignment shrinkToFit="0" wrapText="1"/>
    </xf>
    <xf borderId="12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3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shrinkToFit="0" wrapText="1"/>
    </xf>
    <xf borderId="8" fillId="3" fontId="6" numFmtId="9" xfId="0" applyAlignment="1" applyBorder="1" applyFont="1" applyNumberFormat="1">
      <alignment shrinkToFit="0" wrapText="1"/>
    </xf>
    <xf borderId="0" fillId="0" fontId="8" numFmtId="0" xfId="0" applyFont="1"/>
    <xf borderId="0" fillId="0" fontId="8" numFmtId="0" xfId="0" applyAlignment="1" applyFont="1">
      <alignment shrinkToFit="0" wrapText="1"/>
    </xf>
    <xf borderId="9" fillId="5" fontId="3" numFmtId="0" xfId="0" applyAlignment="1" applyBorder="1" applyFill="1" applyFont="1">
      <alignment shrinkToFit="0" wrapText="1"/>
    </xf>
    <xf borderId="15" fillId="6" fontId="3" numFmtId="0" xfId="0" applyAlignment="1" applyBorder="1" applyFill="1" applyFont="1">
      <alignment shrinkToFit="0" wrapText="1"/>
    </xf>
    <xf borderId="15" fillId="7" fontId="3" numFmtId="0" xfId="0" applyAlignment="1" applyBorder="1" applyFill="1" applyFont="1">
      <alignment shrinkToFit="0" wrapText="1"/>
    </xf>
    <xf borderId="15" fillId="8" fontId="3" numFmtId="0" xfId="0" applyAlignment="1" applyBorder="1" applyFill="1" applyFont="1">
      <alignment shrinkToFit="0" wrapText="1"/>
    </xf>
    <xf borderId="0" fillId="0" fontId="3" numFmtId="0" xfId="0" applyAlignment="1" applyFont="1">
      <alignment shrinkToFit="0" vertical="top" wrapText="1"/>
    </xf>
    <xf borderId="9" fillId="6" fontId="2" numFmtId="0" xfId="0" applyAlignment="1" applyBorder="1" applyFont="1">
      <alignment shrinkToFit="0" wrapText="1"/>
    </xf>
    <xf borderId="9" fillId="7" fontId="2" numFmtId="0" xfId="0" applyAlignment="1" applyBorder="1" applyFont="1">
      <alignment shrinkToFit="0" wrapText="1"/>
    </xf>
    <xf borderId="9" fillId="8" fontId="2" numFmtId="0" xfId="0" applyAlignment="1" applyBorder="1" applyFont="1">
      <alignment shrinkToFit="0" wrapText="1"/>
    </xf>
    <xf borderId="16" fillId="8" fontId="2" numFmtId="0" xfId="0" applyAlignment="1" applyBorder="1" applyFont="1">
      <alignment shrinkToFit="0" wrapText="1"/>
    </xf>
    <xf borderId="17" fillId="8" fontId="2" numFmtId="0" xfId="0" applyAlignment="1" applyBorder="1" applyFont="1">
      <alignment shrinkToFit="0" wrapText="1"/>
    </xf>
    <xf borderId="16" fillId="9" fontId="2" numFmtId="0" xfId="0" applyAlignment="1" applyBorder="1" applyFill="1" applyFont="1">
      <alignment shrinkToFit="0" wrapText="1"/>
    </xf>
    <xf borderId="18" fillId="9" fontId="2" numFmtId="0" xfId="0" applyAlignment="1" applyBorder="1" applyFont="1">
      <alignment shrinkToFit="0" wrapText="1"/>
    </xf>
    <xf borderId="19" fillId="9" fontId="2" numFmtId="0" xfId="0" applyAlignment="1" applyBorder="1" applyFont="1">
      <alignment shrinkToFit="0" wrapText="1"/>
    </xf>
    <xf borderId="17" fillId="9" fontId="2" numFmtId="0" xfId="0" applyAlignment="1" applyBorder="1" applyFont="1">
      <alignment shrinkToFit="0" wrapText="1"/>
    </xf>
    <xf borderId="16" fillId="6" fontId="2" numFmtId="0" xfId="0" applyAlignment="1" applyBorder="1" applyFont="1">
      <alignment shrinkToFit="0" wrapText="1"/>
    </xf>
    <xf borderId="17" fillId="6" fontId="2" numFmtId="0" xfId="0" applyAlignment="1" applyBorder="1" applyFont="1">
      <alignment shrinkToFit="0" wrapText="1"/>
    </xf>
    <xf borderId="16" fillId="7" fontId="2" numFmtId="0" xfId="0" applyAlignment="1" applyBorder="1" applyFont="1">
      <alignment shrinkToFit="0" wrapText="1"/>
    </xf>
    <xf borderId="17" fillId="7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8" fillId="2" fontId="7" numFmtId="2" xfId="0" applyBorder="1" applyFont="1" applyNumberFormat="1"/>
    <xf borderId="20" fillId="2" fontId="4" numFmtId="9" xfId="0" applyAlignment="1" applyBorder="1" applyFont="1" applyNumberFormat="1">
      <alignment horizontal="right" shrinkToFit="0" wrapText="1"/>
    </xf>
    <xf borderId="21" fillId="4" fontId="2" numFmtId="9" xfId="0" applyAlignment="1" applyBorder="1" applyFont="1" applyNumberFormat="1">
      <alignment horizontal="right" shrinkToFit="0" wrapText="1"/>
    </xf>
    <xf borderId="22" fillId="4" fontId="2" numFmtId="2" xfId="0" applyAlignment="1" applyBorder="1" applyFont="1" applyNumberFormat="1">
      <alignment horizontal="right" shrinkToFit="0" wrapText="1"/>
    </xf>
    <xf borderId="23" fillId="4" fontId="2" numFmtId="2" xfId="0" applyAlignment="1" applyBorder="1" applyFont="1" applyNumberFormat="1">
      <alignment horizontal="right" shrinkToFit="0" wrapText="1"/>
    </xf>
    <xf borderId="24" fillId="2" fontId="4" numFmtId="9" xfId="0" applyAlignment="1" applyBorder="1" applyFont="1" applyNumberFormat="1">
      <alignment horizontal="right" shrinkToFit="0" wrapText="1"/>
    </xf>
    <xf borderId="25" fillId="2" fontId="7" numFmtId="9" xfId="0" applyAlignment="1" applyBorder="1" applyFont="1" applyNumberFormat="1">
      <alignment horizontal="right" shrinkToFit="0" wrapText="1"/>
    </xf>
    <xf borderId="21" fillId="4" fontId="2" numFmtId="2" xfId="0" applyAlignment="1" applyBorder="1" applyFont="1" applyNumberFormat="1">
      <alignment horizontal="right" shrinkToFit="0" wrapText="1"/>
    </xf>
    <xf borderId="26" fillId="2" fontId="4" numFmtId="9" xfId="0" applyAlignment="1" applyBorder="1" applyFont="1" applyNumberFormat="1">
      <alignment horizontal="right" shrinkToFit="0" wrapText="1"/>
    </xf>
    <xf borderId="27" fillId="2" fontId="7" numFmtId="9" xfId="0" applyAlignment="1" applyBorder="1" applyFont="1" applyNumberFormat="1">
      <alignment horizontal="right" shrinkToFit="0" wrapText="1"/>
    </xf>
    <xf borderId="28" fillId="2" fontId="4" numFmtId="9" xfId="0" applyAlignment="1" applyBorder="1" applyFont="1" applyNumberFormat="1">
      <alignment horizontal="right" shrinkToFit="0" wrapText="1"/>
    </xf>
    <xf borderId="29" fillId="4" fontId="2" numFmtId="9" xfId="0" applyAlignment="1" applyBorder="1" applyFont="1" applyNumberFormat="1">
      <alignment horizontal="right" shrinkToFit="0" wrapText="1"/>
    </xf>
    <xf borderId="30" fillId="4" fontId="2" numFmtId="2" xfId="0" applyAlignment="1" applyBorder="1" applyFont="1" applyNumberFormat="1">
      <alignment horizontal="right" shrinkToFit="0" wrapText="1"/>
    </xf>
    <xf borderId="31" fillId="4" fontId="2" numFmtId="2" xfId="0" applyAlignment="1" applyBorder="1" applyFont="1" applyNumberFormat="1">
      <alignment horizontal="right" shrinkToFit="0" wrapText="1"/>
    </xf>
    <xf borderId="32" fillId="2" fontId="4" numFmtId="9" xfId="0" applyAlignment="1" applyBorder="1" applyFont="1" applyNumberFormat="1">
      <alignment horizontal="right" shrinkToFit="0" wrapText="1"/>
    </xf>
    <xf borderId="33" fillId="2" fontId="7" numFmtId="9" xfId="0" applyAlignment="1" applyBorder="1" applyFont="1" applyNumberFormat="1">
      <alignment horizontal="right" shrinkToFit="0" wrapText="1"/>
    </xf>
    <xf borderId="29" fillId="4" fontId="2" numFmtId="2" xfId="0" applyAlignment="1" applyBorder="1" applyFont="1" applyNumberFormat="1">
      <alignment horizontal="right" shrinkToFit="0" wrapText="1"/>
    </xf>
    <xf borderId="34" fillId="2" fontId="4" numFmtId="9" xfId="0" applyAlignment="1" applyBorder="1" applyFont="1" applyNumberFormat="1">
      <alignment horizontal="right" shrinkToFit="0" wrapText="1"/>
    </xf>
    <xf borderId="35" fillId="2" fontId="7" numFmtId="9" xfId="0" applyAlignment="1" applyBorder="1" applyFont="1" applyNumberFormat="1">
      <alignment horizontal="right" shrinkToFit="0" wrapText="1"/>
    </xf>
    <xf borderId="36" fillId="2" fontId="4" numFmtId="9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1.43"/>
    <col customWidth="1" min="3" max="3" width="17.29"/>
    <col customWidth="1" min="4" max="4" width="11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2"/>
      <c r="C2" s="3"/>
    </row>
    <row r="3">
      <c r="B3" s="2"/>
      <c r="C3" s="3"/>
    </row>
    <row r="4">
      <c r="B4" s="2"/>
      <c r="C4" s="3"/>
    </row>
    <row r="5">
      <c r="B5" s="2"/>
      <c r="C5" s="3"/>
    </row>
    <row r="6">
      <c r="B6" s="2"/>
      <c r="C6" s="3"/>
    </row>
    <row r="7">
      <c r="B7" s="2"/>
      <c r="C7" s="3"/>
    </row>
    <row r="8">
      <c r="B8" s="2"/>
      <c r="C8" s="3"/>
    </row>
    <row r="9">
      <c r="B9" s="2"/>
      <c r="C9" s="3"/>
    </row>
    <row r="10">
      <c r="B10" s="2"/>
      <c r="C10" s="3"/>
    </row>
    <row r="11">
      <c r="B11" s="2"/>
      <c r="C11" s="3"/>
    </row>
    <row r="12">
      <c r="B12" s="2"/>
      <c r="C12" s="3"/>
    </row>
    <row r="13">
      <c r="B13" s="2"/>
      <c r="C13" s="3"/>
    </row>
    <row r="14">
      <c r="B14" s="2"/>
      <c r="C14" s="3"/>
    </row>
    <row r="15">
      <c r="B15" s="2"/>
      <c r="C15" s="3"/>
    </row>
    <row r="16">
      <c r="B16" s="2"/>
      <c r="C16" s="3"/>
    </row>
    <row r="17">
      <c r="B17" s="2"/>
      <c r="C17" s="3"/>
    </row>
    <row r="18">
      <c r="B18" s="2"/>
      <c r="C18" s="3"/>
    </row>
    <row r="19">
      <c r="B19" s="2"/>
      <c r="C19" s="3"/>
    </row>
    <row r="20">
      <c r="B20" s="2"/>
      <c r="C20" s="3"/>
    </row>
    <row r="21" ht="15.75" customHeight="1">
      <c r="B21" s="2"/>
      <c r="C21" s="3"/>
    </row>
    <row r="22" ht="15.75" customHeight="1">
      <c r="B22" s="2"/>
      <c r="C22" s="3"/>
    </row>
    <row r="23" ht="15.75" customHeight="1">
      <c r="B23" s="2"/>
      <c r="C23" s="3"/>
    </row>
    <row r="24" ht="15.75" customHeight="1">
      <c r="B24" s="2"/>
      <c r="C24" s="3"/>
    </row>
    <row r="25" ht="15.75" customHeight="1">
      <c r="B25" s="2"/>
      <c r="C25" s="3"/>
    </row>
    <row r="26" ht="15.75" customHeight="1">
      <c r="B26" s="2"/>
      <c r="C26" s="3"/>
    </row>
    <row r="27" ht="15.75" customHeight="1">
      <c r="B27" s="2"/>
      <c r="C27" s="3"/>
    </row>
    <row r="28" ht="15.75" customHeight="1">
      <c r="B28" s="2"/>
      <c r="C28" s="3"/>
    </row>
    <row r="29" ht="15.75" customHeight="1">
      <c r="B29" s="2"/>
      <c r="C29" s="3"/>
    </row>
    <row r="30" ht="15.75" customHeight="1">
      <c r="B30" s="2"/>
      <c r="C30" s="3"/>
    </row>
    <row r="31" ht="15.75" customHeight="1">
      <c r="B31" s="2"/>
      <c r="C31" s="3"/>
    </row>
    <row r="32" ht="15.75" customHeight="1">
      <c r="B32" s="2"/>
      <c r="C32" s="3"/>
    </row>
    <row r="33" ht="15.75" customHeight="1">
      <c r="B33" s="2"/>
      <c r="C33" s="3"/>
    </row>
    <row r="34" ht="15.75" customHeight="1">
      <c r="B34" s="2"/>
      <c r="C34" s="3"/>
    </row>
    <row r="35" ht="15.75" customHeight="1">
      <c r="B35" s="2"/>
      <c r="C35" s="3"/>
      <c r="D35" s="1"/>
    </row>
    <row r="36" ht="15.75" customHeight="1">
      <c r="B36" s="2"/>
      <c r="C36" s="3"/>
      <c r="D36" s="1"/>
    </row>
    <row r="37" ht="15.75" customHeight="1">
      <c r="B37" s="2"/>
      <c r="C37" s="3"/>
      <c r="D37" s="1"/>
    </row>
    <row r="38" ht="15.75" customHeight="1">
      <c r="B38" s="2"/>
      <c r="C38" s="3"/>
      <c r="D38" s="1"/>
    </row>
    <row r="39" ht="15.75" customHeight="1">
      <c r="B39" s="2"/>
      <c r="C39" s="3"/>
      <c r="D39" s="1"/>
    </row>
    <row r="40" ht="15.75" customHeight="1">
      <c r="B40" s="2"/>
      <c r="C40" s="3"/>
      <c r="D40" s="1"/>
    </row>
    <row r="41" ht="15.75" customHeight="1">
      <c r="B41" s="2"/>
      <c r="C41" s="3"/>
      <c r="D41" s="1"/>
    </row>
    <row r="42" ht="15.75" customHeight="1">
      <c r="B42" s="2"/>
      <c r="C42" s="3"/>
      <c r="D42" s="1"/>
    </row>
    <row r="43" ht="15.75" customHeight="1">
      <c r="B43" s="2"/>
      <c r="C43" s="3"/>
      <c r="D43" s="1"/>
    </row>
    <row r="44" ht="15.75" customHeight="1">
      <c r="B44" s="2"/>
      <c r="C44" s="3"/>
    </row>
    <row r="45" ht="15.75" customHeight="1">
      <c r="B45" s="2"/>
      <c r="C45" s="3"/>
    </row>
    <row r="46" ht="15.75" customHeight="1">
      <c r="B46" s="2"/>
      <c r="C46" s="3"/>
    </row>
    <row r="47" ht="15.75" customHeight="1">
      <c r="B47" s="2"/>
      <c r="C47" s="3"/>
    </row>
    <row r="48" ht="15.75" customHeight="1">
      <c r="B48" s="2"/>
      <c r="C48" s="3"/>
    </row>
    <row r="49" ht="15.75" customHeight="1">
      <c r="B49" s="2"/>
      <c r="C49" s="3"/>
    </row>
    <row r="50" ht="15.75" customHeight="1">
      <c r="B50" s="2"/>
      <c r="C50" s="3"/>
    </row>
    <row r="51" ht="15.75" customHeight="1">
      <c r="B51" s="2"/>
      <c r="C51" s="3"/>
    </row>
    <row r="52" ht="15.75" customHeight="1">
      <c r="B52" s="2"/>
      <c r="C52" s="3"/>
    </row>
    <row r="53" ht="15.75" customHeight="1">
      <c r="B53" s="2"/>
      <c r="C53" s="3"/>
    </row>
    <row r="54" ht="15.75" customHeight="1">
      <c r="B54" s="2"/>
      <c r="C54" s="3"/>
    </row>
    <row r="55" ht="15.75" customHeight="1">
      <c r="B55" s="2"/>
      <c r="C55" s="3"/>
    </row>
    <row r="56" ht="15.75" customHeight="1">
      <c r="B56" s="2"/>
      <c r="C56" s="3"/>
    </row>
    <row r="57" ht="15.75" customHeight="1">
      <c r="B57" s="2"/>
      <c r="C57" s="3"/>
    </row>
    <row r="58" ht="15.75" customHeight="1">
      <c r="B58" s="2"/>
      <c r="C58" s="3"/>
    </row>
    <row r="59" ht="15.75" customHeight="1">
      <c r="B59" s="2"/>
      <c r="C59" s="3"/>
    </row>
    <row r="60" ht="15.75" customHeight="1">
      <c r="B60" s="2"/>
      <c r="C60" s="3"/>
    </row>
    <row r="61" ht="15.75" customHeight="1">
      <c r="B61" s="2"/>
      <c r="C61" s="3"/>
    </row>
    <row r="62" ht="15.75" customHeight="1">
      <c r="B62" s="2"/>
      <c r="C62" s="3"/>
    </row>
    <row r="63" ht="15.75" customHeight="1">
      <c r="B63" s="2"/>
      <c r="C63" s="3"/>
    </row>
    <row r="64" ht="15.75" customHeight="1">
      <c r="B64" s="2"/>
      <c r="C64" s="3"/>
    </row>
    <row r="65" ht="15.75" customHeight="1">
      <c r="B65" s="2"/>
      <c r="C65" s="3"/>
    </row>
    <row r="66" ht="15.75" customHeight="1">
      <c r="B66" s="4"/>
      <c r="C66" s="3"/>
    </row>
    <row r="67" ht="15.75" customHeight="1">
      <c r="B67" s="4"/>
      <c r="C67" s="3"/>
    </row>
    <row r="68" ht="15.75" customHeight="1">
      <c r="B68" s="4"/>
      <c r="C68" s="3"/>
    </row>
    <row r="69" ht="15.75" customHeight="1">
      <c r="B69" s="4"/>
      <c r="C69" s="3"/>
    </row>
    <row r="70" ht="15.75" customHeight="1">
      <c r="B70" s="4"/>
      <c r="C70" s="3"/>
    </row>
    <row r="71" ht="15.75" customHeight="1">
      <c r="B71" s="4"/>
      <c r="C71" s="3"/>
    </row>
    <row r="72" ht="15.75" customHeight="1">
      <c r="B72" s="4"/>
      <c r="C72" s="3"/>
    </row>
    <row r="73" ht="15.75" customHeight="1">
      <c r="B73" s="4"/>
      <c r="C73" s="3"/>
    </row>
    <row r="74" ht="15.75" customHeight="1">
      <c r="B74" s="4"/>
      <c r="C74" s="3"/>
    </row>
    <row r="75" ht="15.75" customHeight="1">
      <c r="B75" s="4"/>
      <c r="C75" s="3"/>
    </row>
    <row r="76" ht="15.75" customHeight="1">
      <c r="B76" s="4"/>
      <c r="C76" s="3"/>
    </row>
    <row r="77" ht="15.75" customHeight="1">
      <c r="B77" s="4"/>
      <c r="C77" s="3"/>
    </row>
    <row r="78" ht="15.75" customHeight="1">
      <c r="B78" s="2"/>
      <c r="C78" s="3"/>
    </row>
    <row r="79" ht="15.75" customHeight="1">
      <c r="B79" s="2"/>
      <c r="C79" s="3"/>
    </row>
    <row r="80" ht="15.75" customHeight="1">
      <c r="B80" s="2"/>
      <c r="C80" s="3"/>
    </row>
    <row r="81" ht="15.75" customHeight="1">
      <c r="B81" s="2"/>
      <c r="C81" s="3"/>
    </row>
    <row r="82" ht="15.75" customHeight="1">
      <c r="B82" s="4"/>
      <c r="C82" s="3"/>
    </row>
    <row r="83" ht="15.75" customHeight="1">
      <c r="B83" s="4"/>
      <c r="C83" s="3"/>
    </row>
    <row r="84" ht="15.75" customHeight="1">
      <c r="B84" s="4"/>
      <c r="C84" s="3"/>
    </row>
    <row r="85" ht="15.75" customHeight="1">
      <c r="B85" s="4"/>
      <c r="C85" s="3"/>
    </row>
    <row r="86" ht="15.75" customHeight="1">
      <c r="B86" s="4"/>
      <c r="C86" s="3"/>
    </row>
    <row r="87" ht="15.75" customHeight="1">
      <c r="B87" s="4"/>
      <c r="C87" s="3"/>
    </row>
    <row r="88" ht="15.75" customHeight="1">
      <c r="B88" s="2"/>
      <c r="C88" s="3"/>
    </row>
    <row r="89" ht="15.75" customHeight="1">
      <c r="B89" s="2"/>
      <c r="C89" s="3"/>
    </row>
    <row r="90" ht="15.75" customHeight="1">
      <c r="B90" s="4"/>
      <c r="C90" s="3"/>
    </row>
    <row r="91" ht="15.75" customHeight="1">
      <c r="B91" s="2"/>
      <c r="C91" s="3"/>
    </row>
    <row r="92" ht="15.75" customHeight="1">
      <c r="B92" s="4"/>
      <c r="C92" s="3"/>
    </row>
    <row r="93" ht="15.75" customHeight="1">
      <c r="B93" s="4"/>
      <c r="C93" s="3"/>
    </row>
    <row r="94" ht="15.75" customHeight="1">
      <c r="B94" s="4"/>
      <c r="C94" s="3"/>
    </row>
    <row r="95" ht="15.75" customHeight="1">
      <c r="B95" s="4"/>
      <c r="C95" s="3"/>
    </row>
    <row r="96" ht="15.75" customHeight="1">
      <c r="B96" s="4"/>
      <c r="C96" s="3"/>
    </row>
    <row r="97" ht="15.75" customHeight="1">
      <c r="B97" s="4"/>
      <c r="C97" s="3"/>
    </row>
    <row r="98" ht="15.75" customHeight="1">
      <c r="B98" s="4"/>
      <c r="C98" s="3"/>
    </row>
    <row r="99" ht="15.75" customHeight="1">
      <c r="B99" s="4"/>
      <c r="C99" s="3"/>
    </row>
    <row r="100" ht="15.75" customHeight="1">
      <c r="B100" s="4"/>
      <c r="C100" s="3"/>
    </row>
    <row r="101" ht="15.75" customHeight="1">
      <c r="B101" s="4"/>
      <c r="C101" s="3"/>
    </row>
    <row r="102" ht="15.75" customHeight="1">
      <c r="B102" s="4"/>
      <c r="C102" s="3"/>
    </row>
    <row r="103" ht="15.75" customHeight="1">
      <c r="B103" s="4"/>
      <c r="C103" s="3"/>
    </row>
    <row r="104" ht="15.75" customHeight="1">
      <c r="B104" s="4"/>
      <c r="C104" s="3"/>
    </row>
    <row r="105" ht="15.75" customHeight="1">
      <c r="B105" s="4"/>
      <c r="C105" s="3"/>
    </row>
    <row r="106" ht="15.75" customHeight="1">
      <c r="B106" s="4"/>
      <c r="C106" s="3"/>
    </row>
    <row r="107" ht="15.75" customHeight="1">
      <c r="B107" s="4"/>
      <c r="C107" s="3"/>
    </row>
    <row r="108" ht="15.75" customHeight="1">
      <c r="B108" s="4"/>
      <c r="C108" s="3"/>
    </row>
    <row r="109" ht="15.75" customHeight="1">
      <c r="B109" s="4"/>
      <c r="C109" s="3"/>
    </row>
    <row r="110" ht="15.75" customHeight="1">
      <c r="B110" s="4"/>
      <c r="C110" s="3"/>
    </row>
    <row r="111" ht="15.75" customHeight="1">
      <c r="B111" s="4"/>
      <c r="C111" s="3"/>
    </row>
    <row r="112" ht="15.75" customHeight="1">
      <c r="B112" s="4"/>
      <c r="C112" s="3"/>
    </row>
    <row r="113" ht="15.75" customHeight="1">
      <c r="B113" s="2"/>
      <c r="C113" s="3"/>
    </row>
    <row r="114" ht="15.75" customHeight="1">
      <c r="B114" s="2"/>
      <c r="C114" s="3"/>
    </row>
    <row r="115" ht="15.75" customHeight="1">
      <c r="B115" s="2"/>
      <c r="C115" s="3"/>
    </row>
    <row r="116" ht="15.75" customHeight="1">
      <c r="B116" s="2"/>
      <c r="C116" s="3"/>
    </row>
    <row r="117" ht="15.75" customHeight="1">
      <c r="B117" s="2"/>
      <c r="C117" s="3"/>
    </row>
    <row r="118" ht="15.75" customHeight="1">
      <c r="B118" s="2"/>
      <c r="C118" s="3"/>
    </row>
    <row r="119" ht="15.75" customHeight="1">
      <c r="B119" s="2"/>
      <c r="C119" s="3"/>
    </row>
    <row r="120" ht="15.75" customHeight="1">
      <c r="B120" s="4"/>
      <c r="C120" s="3"/>
    </row>
    <row r="121" ht="15.75" customHeight="1">
      <c r="B121" s="2"/>
      <c r="C121" s="3"/>
    </row>
    <row r="122" ht="15.75" customHeight="1">
      <c r="B122" s="2"/>
      <c r="C122" s="3"/>
    </row>
    <row r="123" ht="15.75" customHeight="1">
      <c r="B123" s="2"/>
      <c r="C123" s="3"/>
    </row>
    <row r="124" ht="15.75" customHeight="1">
      <c r="B124" s="2"/>
      <c r="C124" s="3"/>
    </row>
    <row r="125" ht="15.75" customHeight="1">
      <c r="B125" s="2"/>
      <c r="C125" s="3"/>
    </row>
    <row r="126" ht="15.75" customHeight="1">
      <c r="B126" s="2"/>
      <c r="C126" s="3"/>
    </row>
    <row r="127" ht="15.75" customHeight="1">
      <c r="B127" s="2"/>
      <c r="C127" s="3"/>
    </row>
    <row r="128" ht="15.75" customHeight="1">
      <c r="B128" s="4"/>
      <c r="C128" s="3"/>
    </row>
    <row r="129" ht="15.75" customHeight="1">
      <c r="B129" s="4"/>
      <c r="C129" s="3"/>
    </row>
    <row r="130" ht="15.75" customHeight="1">
      <c r="B130" s="4"/>
      <c r="C130" s="3"/>
    </row>
    <row r="131" ht="15.75" customHeight="1">
      <c r="B131" s="4"/>
      <c r="C131" s="3"/>
    </row>
    <row r="132" ht="15.75" customHeight="1">
      <c r="B132" s="4"/>
      <c r="C132" s="3"/>
    </row>
    <row r="133" ht="15.75" customHeight="1">
      <c r="B133" s="4"/>
      <c r="C133" s="3"/>
    </row>
    <row r="134" ht="15.75" customHeight="1">
      <c r="B134" s="4"/>
      <c r="C134" s="3"/>
    </row>
    <row r="135" ht="15.75" customHeight="1">
      <c r="B135" s="2"/>
      <c r="C135" s="3"/>
    </row>
    <row r="136" ht="15.75" customHeight="1">
      <c r="B136" s="2"/>
      <c r="C136" s="3"/>
    </row>
    <row r="137" ht="15.75" customHeight="1">
      <c r="B137" s="2"/>
      <c r="C137" s="3"/>
    </row>
    <row r="138" ht="15.75" customHeight="1">
      <c r="B138" s="2"/>
      <c r="C138" s="3"/>
    </row>
    <row r="139" ht="15.75" customHeight="1">
      <c r="B139" s="2"/>
      <c r="C139" s="3"/>
    </row>
    <row r="140" ht="15.75" customHeight="1">
      <c r="B140" s="2"/>
      <c r="C140" s="3"/>
    </row>
    <row r="141" ht="15.75" customHeight="1">
      <c r="B141" s="2"/>
      <c r="C141" s="3"/>
    </row>
    <row r="142" ht="15.75" customHeight="1">
      <c r="B142" s="2"/>
      <c r="C142" s="3"/>
    </row>
    <row r="143" ht="15.75" customHeight="1">
      <c r="B143" s="2"/>
      <c r="C143" s="3"/>
    </row>
    <row r="144" ht="15.75" customHeight="1">
      <c r="B144" s="2"/>
      <c r="C144" s="3"/>
    </row>
    <row r="145" ht="15.75" customHeight="1">
      <c r="B145" s="2"/>
      <c r="C145" s="3"/>
    </row>
    <row r="146" ht="15.75" customHeight="1">
      <c r="B146" s="2"/>
      <c r="C146" s="3"/>
    </row>
    <row r="147" ht="15.75" customHeight="1">
      <c r="B147" s="2"/>
      <c r="C147" s="3"/>
    </row>
    <row r="148" ht="15.75" customHeight="1">
      <c r="B148" s="2"/>
      <c r="C148" s="3"/>
    </row>
    <row r="149" ht="15.75" customHeight="1">
      <c r="B149" s="2"/>
      <c r="C149" s="3"/>
    </row>
    <row r="150" ht="15.75" customHeight="1">
      <c r="B150" s="2"/>
      <c r="C150" s="3"/>
    </row>
    <row r="151" ht="15.75" customHeight="1">
      <c r="B151" s="2"/>
      <c r="C151" s="3"/>
    </row>
    <row r="152" ht="15.75" customHeight="1">
      <c r="B152" s="2"/>
      <c r="C152" s="3"/>
    </row>
    <row r="153" ht="15.75" customHeight="1">
      <c r="B153" s="2"/>
      <c r="C153" s="3"/>
    </row>
    <row r="154" ht="15.75" customHeight="1">
      <c r="B154" s="2"/>
      <c r="C154" s="3"/>
    </row>
    <row r="155" ht="15.75" customHeight="1">
      <c r="B155" s="2"/>
      <c r="C155" s="3"/>
    </row>
    <row r="156" ht="15.75" customHeight="1">
      <c r="B156" s="2"/>
      <c r="C156" s="3"/>
    </row>
    <row r="157" ht="15.75" customHeight="1">
      <c r="B157" s="2"/>
      <c r="C157" s="3"/>
    </row>
    <row r="158" ht="15.75" customHeight="1">
      <c r="B158" s="2"/>
      <c r="C158" s="3"/>
    </row>
    <row r="159" ht="15.75" customHeight="1">
      <c r="B159" s="2"/>
      <c r="C159" s="3"/>
    </row>
    <row r="160" ht="15.75" customHeight="1">
      <c r="B160" s="2"/>
      <c r="C160" s="3"/>
    </row>
    <row r="161" ht="15.75" customHeight="1">
      <c r="B161" s="2"/>
      <c r="C161" s="3"/>
    </row>
    <row r="162" ht="15.75" customHeight="1">
      <c r="B162" s="2"/>
      <c r="C162" s="3"/>
    </row>
    <row r="163" ht="15.75" customHeight="1">
      <c r="B163" s="4"/>
      <c r="C163" s="3"/>
    </row>
    <row r="164" ht="15.75" customHeight="1">
      <c r="B164" s="4"/>
      <c r="C164" s="3"/>
    </row>
    <row r="165" ht="15.75" customHeight="1">
      <c r="B165" s="4"/>
      <c r="C165" s="3"/>
    </row>
    <row r="166" ht="15.75" customHeight="1">
      <c r="B166" s="4"/>
      <c r="C166" s="3"/>
    </row>
    <row r="167" ht="15.75" customHeight="1">
      <c r="B167" s="4"/>
      <c r="C167" s="3"/>
    </row>
    <row r="168" ht="15.75" customHeight="1">
      <c r="B168" s="4"/>
      <c r="C168" s="3"/>
    </row>
    <row r="169" ht="15.75" customHeight="1">
      <c r="B169" s="4"/>
      <c r="C169" s="3"/>
    </row>
    <row r="170" ht="15.75" customHeight="1">
      <c r="B170" s="2"/>
      <c r="C170" s="3"/>
    </row>
    <row r="171" ht="15.75" customHeight="1">
      <c r="B171" s="2"/>
      <c r="C171" s="3"/>
    </row>
    <row r="172" ht="15.75" customHeight="1">
      <c r="B172" s="2"/>
      <c r="C172" s="3"/>
    </row>
    <row r="173" ht="15.75" customHeight="1">
      <c r="B173" s="2"/>
      <c r="C173" s="3"/>
    </row>
    <row r="174" ht="15.75" customHeight="1">
      <c r="B174" s="2"/>
      <c r="C174" s="3"/>
    </row>
    <row r="175" ht="15.75" customHeight="1">
      <c r="B175" s="2"/>
      <c r="C175" s="3"/>
    </row>
    <row r="176" ht="15.75" customHeight="1">
      <c r="B176" s="2"/>
      <c r="C176" s="3"/>
    </row>
    <row r="177" ht="15.75" customHeight="1">
      <c r="B177" s="2"/>
      <c r="C177" s="3"/>
    </row>
    <row r="178" ht="15.75" customHeight="1">
      <c r="B178" s="2"/>
      <c r="C178" s="3"/>
    </row>
    <row r="179" ht="15.75" customHeight="1">
      <c r="B179" s="2"/>
      <c r="C179" s="3"/>
    </row>
    <row r="180" ht="15.75" customHeight="1">
      <c r="B180" s="2"/>
      <c r="C180" s="3"/>
    </row>
    <row r="181" ht="15.75" customHeight="1">
      <c r="B181" s="2"/>
      <c r="C181" s="3"/>
    </row>
    <row r="182" ht="15.75" customHeight="1">
      <c r="B182" s="2"/>
      <c r="C182" s="3"/>
    </row>
    <row r="183" ht="15.75" customHeight="1">
      <c r="B183" s="4"/>
      <c r="C183" s="3"/>
    </row>
    <row r="184" ht="15.75" customHeight="1">
      <c r="B184" s="4"/>
      <c r="C184" s="3"/>
    </row>
    <row r="185" ht="15.75" customHeight="1">
      <c r="B185" s="4"/>
      <c r="C185" s="3"/>
    </row>
    <row r="186" ht="15.75" customHeight="1">
      <c r="B186" s="4"/>
      <c r="C186" s="3"/>
    </row>
    <row r="187" ht="15.75" customHeight="1">
      <c r="B187" s="4"/>
      <c r="C187" s="3"/>
    </row>
    <row r="188" ht="15.75" customHeight="1">
      <c r="B188" s="4"/>
      <c r="C188" s="3"/>
    </row>
    <row r="189" ht="15.75" customHeight="1">
      <c r="B189" s="4"/>
      <c r="C189" s="3"/>
    </row>
    <row r="190" ht="15.75" customHeight="1">
      <c r="B190" s="4"/>
      <c r="C190" s="3"/>
    </row>
    <row r="191" ht="15.75" customHeight="1">
      <c r="B191" s="4"/>
      <c r="C191" s="3"/>
    </row>
    <row r="192" ht="15.75" customHeight="1">
      <c r="B192" s="4"/>
      <c r="C192" s="3"/>
    </row>
    <row r="193" ht="15.75" customHeight="1">
      <c r="B193" s="4"/>
      <c r="C193" s="3"/>
    </row>
    <row r="194" ht="15.75" customHeight="1">
      <c r="B194" s="4"/>
      <c r="C194" s="3"/>
    </row>
    <row r="195" ht="15.75" customHeight="1">
      <c r="B195" s="4"/>
      <c r="C195" s="3"/>
    </row>
    <row r="196" ht="15.75" customHeight="1">
      <c r="B196" s="4"/>
      <c r="C196" s="3"/>
    </row>
    <row r="197" ht="15.75" customHeight="1">
      <c r="B197" s="4"/>
      <c r="C197" s="3"/>
    </row>
    <row r="198" ht="15.75" customHeight="1">
      <c r="B198" s="4"/>
      <c r="C198" s="3"/>
    </row>
    <row r="199" ht="15.75" customHeight="1">
      <c r="B199" s="4"/>
      <c r="C199" s="3"/>
    </row>
    <row r="200" ht="15.75" customHeight="1">
      <c r="B200" s="4"/>
      <c r="C200" s="3"/>
    </row>
    <row r="201" ht="15.75" customHeight="1">
      <c r="B201" s="4"/>
      <c r="C201" s="3"/>
    </row>
    <row r="202" ht="15.75" customHeight="1">
      <c r="B202" s="4"/>
      <c r="C202" s="3"/>
    </row>
    <row r="203" ht="15.75" customHeight="1">
      <c r="B203" s="4"/>
      <c r="C203" s="3"/>
    </row>
    <row r="204" ht="15.75" customHeight="1">
      <c r="B204" s="4"/>
      <c r="C204" s="3"/>
    </row>
    <row r="205" ht="15.75" customHeight="1">
      <c r="B205" s="4"/>
      <c r="C205" s="3"/>
    </row>
    <row r="206" ht="15.75" customHeight="1">
      <c r="B206" s="4"/>
      <c r="C206" s="5"/>
    </row>
    <row r="207" ht="15.75" customHeight="1">
      <c r="B207" s="4"/>
      <c r="C207" s="5"/>
    </row>
    <row r="208" ht="15.75" customHeight="1">
      <c r="B208" s="4"/>
      <c r="C208" s="5"/>
    </row>
    <row r="209" ht="15.75" customHeight="1">
      <c r="B209" s="4"/>
      <c r="C209" s="5"/>
    </row>
    <row r="210" ht="15.75" customHeight="1">
      <c r="B210" s="4"/>
      <c r="C210" s="3"/>
    </row>
    <row r="211" ht="15.75" customHeight="1">
      <c r="B211" s="4"/>
      <c r="C211" s="3"/>
    </row>
    <row r="212" ht="15.75" customHeight="1">
      <c r="B212" s="4"/>
      <c r="C212" s="3"/>
    </row>
    <row r="213" ht="15.75" customHeight="1">
      <c r="B213" s="4"/>
      <c r="C213" s="3"/>
    </row>
    <row r="214" ht="15.75" customHeight="1">
      <c r="B214" s="4"/>
      <c r="C214" s="3"/>
    </row>
    <row r="215" ht="15.75" customHeight="1">
      <c r="B215" s="4"/>
      <c r="C215" s="3"/>
    </row>
    <row r="216" ht="15.75" customHeight="1">
      <c r="B216" s="4"/>
      <c r="C216" s="3"/>
    </row>
    <row r="217" ht="15.75" customHeight="1">
      <c r="B217" s="4"/>
      <c r="C217" s="3"/>
    </row>
    <row r="218" ht="15.75" customHeight="1">
      <c r="B218" s="4"/>
      <c r="C218" s="3"/>
    </row>
    <row r="219" ht="15.75" customHeight="1">
      <c r="B219" s="4"/>
      <c r="C219" s="3"/>
    </row>
    <row r="220" ht="15.75" customHeight="1">
      <c r="B220" s="4"/>
      <c r="C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34"/>
  <dataValidations>
    <dataValidation type="list" allowBlank="1" showErrorMessage="1" sqref="D35:D43 D247:D267">
      <formula1>"Holiday,PTO,AltSchedule"</formula1>
    </dataValidation>
  </dataValidations>
  <printOptions/>
  <pageMargins bottom="0.75" footer="0.0" header="0.0" left="0.7" right="0.7" top="0.75"/>
  <pageSetup orientation="portrait"/>
  <headerFooter>
    <oddFooter>&amp;C#D89B2BConfidential - Company Proprietary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1.71"/>
    <col customWidth="1" min="3" max="3" width="11.71"/>
    <col customWidth="1" min="4" max="13" width="18.0"/>
    <col customWidth="1" min="14" max="14" width="12.0"/>
    <col customWidth="1" min="15" max="15" width="14.29"/>
    <col customWidth="1" min="16" max="16" width="6.29"/>
    <col customWidth="1" min="17" max="17" width="8.43"/>
    <col customWidth="1" min="18" max="18" width="6.29"/>
    <col customWidth="1" min="19" max="19" width="8.29"/>
    <col customWidth="1" min="20" max="20" width="9.71"/>
    <col customWidth="1" min="21" max="28" width="11.71"/>
    <col customWidth="1" min="29" max="30" width="11.43"/>
    <col customWidth="1" min="31" max="31" width="1.71"/>
    <col customWidth="1" min="32" max="32" width="9.29"/>
    <col customWidth="1" min="33" max="33" width="2.0"/>
    <col customWidth="1" min="34" max="34" width="2.29"/>
    <col customWidth="1" min="35" max="35" width="9.29"/>
    <col customWidth="1" min="36" max="36" width="12.71"/>
    <col customWidth="1" min="37" max="37" width="11.57"/>
    <col customWidth="1" min="38" max="41" width="9.29"/>
    <col customWidth="1" min="42" max="43" width="12.29"/>
    <col customWidth="1" min="44" max="44" width="12.71"/>
    <col customWidth="1" min="45" max="45" width="10.57"/>
    <col customWidth="1" min="46" max="46" width="9.29"/>
    <col customWidth="1" min="47" max="47" width="12.71"/>
    <col customWidth="1" min="48" max="48" width="11.71"/>
    <col customWidth="1" min="49" max="49" width="16.29"/>
    <col customWidth="1" min="50" max="50" width="9.29"/>
    <col customWidth="1" min="51" max="51" width="13.29"/>
    <col customWidth="1" min="52" max="52" width="9.29"/>
    <col customWidth="1" min="53" max="53" width="22.14"/>
    <col customWidth="1" min="54" max="54" width="39.0"/>
    <col customWidth="1" min="55" max="55" width="9.29"/>
    <col customWidth="1" min="56" max="56" width="17.43"/>
    <col customWidth="1" min="57" max="57" width="9.29"/>
    <col customWidth="1" min="58" max="58" width="12.0"/>
    <col customWidth="1" min="59" max="59" width="12.43"/>
    <col customWidth="1" min="60" max="60" width="9.29"/>
    <col customWidth="1" min="61" max="61" width="13.29"/>
    <col customWidth="1" min="62" max="62" width="12.43"/>
    <col customWidth="1" min="63" max="67" width="9.29"/>
  </cols>
  <sheetData>
    <row r="1" ht="15.0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 t="s">
        <v>4</v>
      </c>
      <c r="P1" s="7"/>
      <c r="Q1" s="7"/>
      <c r="R1" s="7"/>
      <c r="S1" s="7"/>
      <c r="T1" s="7"/>
      <c r="U1" s="7" t="s">
        <v>5</v>
      </c>
      <c r="V1" s="7"/>
      <c r="W1" s="7"/>
      <c r="X1" s="7"/>
      <c r="Y1" s="7"/>
      <c r="Z1" s="7" t="s">
        <v>6</v>
      </c>
      <c r="AA1" s="7"/>
      <c r="AB1" s="7"/>
      <c r="AC1" s="7"/>
      <c r="AD1" s="7"/>
      <c r="AE1" s="7"/>
      <c r="AF1" s="7" t="s">
        <v>7</v>
      </c>
      <c r="AG1" s="6"/>
      <c r="AH1" s="6"/>
      <c r="AI1" s="6"/>
      <c r="AJ1" s="6" t="s">
        <v>8</v>
      </c>
      <c r="AK1" s="8">
        <f>(40*AN2)+(8*AO2) + AP2+(AQ2/60)</f>
        <v>0</v>
      </c>
      <c r="AL1" s="9"/>
      <c r="AM1" s="10"/>
      <c r="AN1" s="11" t="s">
        <v>9</v>
      </c>
      <c r="AO1" s="11" t="s">
        <v>10</v>
      </c>
      <c r="AP1" s="11" t="s">
        <v>11</v>
      </c>
      <c r="AQ1" s="12" t="s">
        <v>12</v>
      </c>
      <c r="AR1" s="6"/>
      <c r="AS1" s="6"/>
      <c r="AT1" s="6"/>
      <c r="AU1" s="6"/>
      <c r="AV1" s="6"/>
      <c r="AW1" s="6"/>
      <c r="AZ1" s="13"/>
      <c r="BB1" s="6"/>
      <c r="BC1" s="14" t="s">
        <v>13</v>
      </c>
      <c r="BO1" s="6"/>
    </row>
    <row r="2" ht="30.75" customHeight="1">
      <c r="A2" s="6"/>
      <c r="B2" s="6"/>
      <c r="C2" s="6"/>
      <c r="D2" s="7" t="s">
        <v>10</v>
      </c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 t="s">
        <v>14</v>
      </c>
      <c r="V2" s="7"/>
      <c r="W2" s="7"/>
      <c r="X2" s="7"/>
      <c r="Y2" s="7"/>
      <c r="Z2" s="7"/>
      <c r="AA2" s="7"/>
      <c r="AB2" s="7"/>
      <c r="AC2" s="7"/>
      <c r="AD2" s="7" t="s">
        <v>15</v>
      </c>
      <c r="AE2" s="7"/>
      <c r="AF2" s="7"/>
      <c r="AG2" s="6"/>
      <c r="AH2" s="6"/>
      <c r="AI2" s="6"/>
      <c r="AJ2" s="6" t="s">
        <v>16</v>
      </c>
      <c r="AK2" s="15">
        <f>U3</f>
        <v>45127</v>
      </c>
      <c r="AL2" s="9" t="s">
        <v>17</v>
      </c>
      <c r="AM2" s="10"/>
      <c r="AN2" s="16"/>
      <c r="AO2" s="16"/>
      <c r="AP2" s="16"/>
      <c r="AQ2" s="16"/>
      <c r="AR2" s="6"/>
      <c r="AS2" s="6"/>
      <c r="AT2" s="6"/>
      <c r="AU2" s="6"/>
      <c r="AV2" s="6"/>
      <c r="AW2" s="6"/>
      <c r="AZ2" s="13"/>
      <c r="BB2" s="6"/>
      <c r="BO2" s="6"/>
    </row>
    <row r="3" ht="15.0" customHeight="1">
      <c r="A3" s="6"/>
      <c r="B3" s="6"/>
      <c r="C3" s="7" t="s">
        <v>18</v>
      </c>
      <c r="D3" s="17">
        <v>45127.0</v>
      </c>
      <c r="E3" s="17">
        <f t="shared" ref="E3:M3" si="1">WORKDAY(D3,1)</f>
        <v>45128</v>
      </c>
      <c r="F3" s="17">
        <f t="shared" si="1"/>
        <v>45131</v>
      </c>
      <c r="G3" s="17">
        <f t="shared" si="1"/>
        <v>45132</v>
      </c>
      <c r="H3" s="17">
        <f t="shared" si="1"/>
        <v>45133</v>
      </c>
      <c r="I3" s="17">
        <f t="shared" si="1"/>
        <v>45134</v>
      </c>
      <c r="J3" s="17">
        <f t="shared" si="1"/>
        <v>45135</v>
      </c>
      <c r="K3" s="17">
        <f t="shared" si="1"/>
        <v>45138</v>
      </c>
      <c r="L3" s="17">
        <f t="shared" si="1"/>
        <v>45139</v>
      </c>
      <c r="M3" s="17">
        <f t="shared" si="1"/>
        <v>45140</v>
      </c>
      <c r="N3" s="18"/>
      <c r="O3" s="7" t="s">
        <v>1</v>
      </c>
      <c r="P3" s="7"/>
      <c r="Q3" s="7"/>
      <c r="R3" s="7"/>
      <c r="S3" s="7"/>
      <c r="T3" s="7"/>
      <c r="U3" s="17">
        <f t="shared" ref="U3:AD3" si="2">D3</f>
        <v>45127</v>
      </c>
      <c r="V3" s="17">
        <f t="shared" si="2"/>
        <v>45128</v>
      </c>
      <c r="W3" s="17">
        <f t="shared" si="2"/>
        <v>45131</v>
      </c>
      <c r="X3" s="17">
        <f t="shared" si="2"/>
        <v>45132</v>
      </c>
      <c r="Y3" s="17">
        <f t="shared" si="2"/>
        <v>45133</v>
      </c>
      <c r="Z3" s="17">
        <f t="shared" si="2"/>
        <v>45134</v>
      </c>
      <c r="AA3" s="17">
        <f t="shared" si="2"/>
        <v>45135</v>
      </c>
      <c r="AB3" s="17">
        <f t="shared" si="2"/>
        <v>45138</v>
      </c>
      <c r="AC3" s="17">
        <f t="shared" si="2"/>
        <v>45139</v>
      </c>
      <c r="AD3" s="17">
        <f t="shared" si="2"/>
        <v>45140</v>
      </c>
      <c r="AE3" s="7"/>
      <c r="AF3" s="7"/>
      <c r="AG3" s="6"/>
      <c r="AH3" s="6"/>
      <c r="AI3" s="6"/>
      <c r="AJ3" s="6"/>
      <c r="AK3" s="19"/>
      <c r="AL3" s="20"/>
      <c r="AM3" s="10"/>
      <c r="AN3" s="21"/>
      <c r="AO3" s="21"/>
      <c r="AP3" s="21"/>
      <c r="AQ3" s="21"/>
      <c r="AR3" s="6"/>
      <c r="AS3" s="6"/>
      <c r="AT3" s="6"/>
      <c r="AU3" s="6"/>
      <c r="AV3" s="6"/>
      <c r="AW3" s="6"/>
      <c r="AZ3" s="13"/>
      <c r="BB3" s="6"/>
      <c r="BO3" s="6"/>
    </row>
    <row r="4" ht="46.5" customHeight="1">
      <c r="A4" s="6"/>
      <c r="B4" s="6"/>
      <c r="C4" s="6"/>
      <c r="D4" s="7" t="str">
        <f t="shared" ref="D4:M4" si="3">TEXT(D3,"ddd")</f>
        <v>czw.</v>
      </c>
      <c r="E4" s="7" t="str">
        <f t="shared" si="3"/>
        <v>pt.</v>
      </c>
      <c r="F4" s="7" t="str">
        <f t="shared" si="3"/>
        <v>pon.</v>
      </c>
      <c r="G4" s="7" t="str">
        <f t="shared" si="3"/>
        <v>wt.</v>
      </c>
      <c r="H4" s="7" t="str">
        <f t="shared" si="3"/>
        <v>śr.</v>
      </c>
      <c r="I4" s="7" t="str">
        <f t="shared" si="3"/>
        <v>czw.</v>
      </c>
      <c r="J4" s="7" t="str">
        <f t="shared" si="3"/>
        <v>pt.</v>
      </c>
      <c r="K4" s="7" t="str">
        <f t="shared" si="3"/>
        <v>pon.</v>
      </c>
      <c r="L4" s="7" t="str">
        <f t="shared" si="3"/>
        <v>wt.</v>
      </c>
      <c r="M4" s="7" t="str">
        <f t="shared" si="3"/>
        <v>śr.</v>
      </c>
      <c r="N4" s="7"/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tr">
        <f t="shared" ref="U4:AD4" si="4">D4</f>
        <v>czw.</v>
      </c>
      <c r="V4" s="7" t="str">
        <f t="shared" si="4"/>
        <v>pt.</v>
      </c>
      <c r="W4" s="7" t="str">
        <f t="shared" si="4"/>
        <v>pon.</v>
      </c>
      <c r="X4" s="7" t="str">
        <f t="shared" si="4"/>
        <v>wt.</v>
      </c>
      <c r="Y4" s="7" t="str">
        <f t="shared" si="4"/>
        <v>śr.</v>
      </c>
      <c r="Z4" s="7" t="str">
        <f t="shared" si="4"/>
        <v>czw.</v>
      </c>
      <c r="AA4" s="7" t="str">
        <f t="shared" si="4"/>
        <v>pt.</v>
      </c>
      <c r="AB4" s="7" t="str">
        <f t="shared" si="4"/>
        <v>pon.</v>
      </c>
      <c r="AC4" s="7" t="str">
        <f t="shared" si="4"/>
        <v>wt.</v>
      </c>
      <c r="AD4" s="7" t="str">
        <f t="shared" si="4"/>
        <v>śr.</v>
      </c>
      <c r="AE4" s="7"/>
      <c r="AF4" s="7"/>
      <c r="AG4" s="6"/>
      <c r="AH4" s="6"/>
      <c r="AI4" s="6"/>
      <c r="AJ4" s="6"/>
      <c r="AK4" s="6" t="s">
        <v>25</v>
      </c>
      <c r="AL4" s="6" t="s">
        <v>26</v>
      </c>
      <c r="AM4" s="6" t="s">
        <v>27</v>
      </c>
      <c r="AN4" s="6" t="s">
        <v>28</v>
      </c>
      <c r="AO4" s="6"/>
      <c r="AP4" s="6" t="s">
        <v>29</v>
      </c>
      <c r="AQ4" s="6" t="s">
        <v>30</v>
      </c>
      <c r="AR4" s="6" t="s">
        <v>31</v>
      </c>
      <c r="AS4" s="6" t="s">
        <v>32</v>
      </c>
      <c r="AT4" s="6" t="s">
        <v>33</v>
      </c>
      <c r="AU4" s="6" t="s">
        <v>34</v>
      </c>
      <c r="AV4" s="6" t="s">
        <v>35</v>
      </c>
      <c r="AW4" s="6"/>
      <c r="AX4" s="6" t="s">
        <v>36</v>
      </c>
      <c r="AY4" s="6" t="s">
        <v>37</v>
      </c>
      <c r="AZ4" s="22" t="s">
        <v>38</v>
      </c>
      <c r="BA4" s="6" t="s">
        <v>39</v>
      </c>
      <c r="BB4" s="6" t="s">
        <v>40</v>
      </c>
      <c r="BC4" s="7" t="s">
        <v>41</v>
      </c>
      <c r="BD4" s="7" t="s">
        <v>42</v>
      </c>
      <c r="BE4" s="7" t="s">
        <v>43</v>
      </c>
      <c r="BF4" s="7" t="s">
        <v>44</v>
      </c>
      <c r="BG4" s="7" t="s">
        <v>45</v>
      </c>
      <c r="BH4" s="7" t="s">
        <v>46</v>
      </c>
      <c r="BI4" s="7" t="s">
        <v>47</v>
      </c>
      <c r="BJ4" s="7" t="s">
        <v>48</v>
      </c>
      <c r="BK4" s="7" t="s">
        <v>49</v>
      </c>
      <c r="BL4" s="7" t="s">
        <v>50</v>
      </c>
      <c r="BM4" s="7" t="s">
        <v>51</v>
      </c>
      <c r="BN4" s="7" t="s">
        <v>52</v>
      </c>
      <c r="BO4" s="7" t="s">
        <v>53</v>
      </c>
    </row>
    <row r="5">
      <c r="A5" s="7"/>
      <c r="B5" s="23" t="s">
        <v>54</v>
      </c>
      <c r="C5" s="24" t="s">
        <v>55</v>
      </c>
      <c r="D5" s="25" t="str">
        <f t="array" ref="D5">TEXTJOIN(", ",TRUE,IF(PTO_Dates=D3,PTO_Names,""))</f>
        <v/>
      </c>
      <c r="E5" s="25" t="str">
        <f t="array" ref="E5">TEXTJOIN(", ",TRUE,IF(PTO_Dates=E3,PTO_Names,""))</f>
        <v/>
      </c>
      <c r="F5" s="25" t="str">
        <f t="array" ref="F5">TEXTJOIN(", ",TRUE,IF(PTO_Dates=F3,PTO_Names,""))</f>
        <v/>
      </c>
      <c r="G5" s="25" t="str">
        <f t="array" ref="G5">TEXTJOIN(", ",TRUE,IF(PTO_Dates=G3,PTO_Names,""))</f>
        <v/>
      </c>
      <c r="H5" s="25" t="str">
        <f t="array" ref="H5">TEXTJOIN(", ",TRUE,IF(PTO_Dates=H3,PTO_Names,""))</f>
        <v/>
      </c>
      <c r="I5" s="25" t="str">
        <f t="array" ref="I5">TEXTJOIN(", ",TRUE,IF(PTO_Dates=I3,PTO_Names,""))</f>
        <v/>
      </c>
      <c r="J5" s="25" t="str">
        <f t="array" ref="J5">TEXTJOIN(", ",TRUE,IF(PTO_Dates=J3,PTO_Names,""))</f>
        <v/>
      </c>
      <c r="K5" s="25" t="str">
        <f t="array" ref="K5">TEXTJOIN(", ",TRUE,IF(PTO_Dates=K3,PTO_Names,""))</f>
        <v/>
      </c>
      <c r="L5" s="25" t="str">
        <f t="array" ref="L5">TEXTJOIN(", ",TRUE,IF(PTO_Dates=L3,PTO_Names,""))</f>
        <v/>
      </c>
      <c r="M5" s="25" t="str">
        <f t="array" ref="M5">TEXTJOIN(", ",TRUE,IF(PTO_Dates=M3,PTO_Names,""))</f>
        <v/>
      </c>
      <c r="P5" s="1" t="s">
        <v>56</v>
      </c>
      <c r="Q5" s="1" t="s">
        <v>57</v>
      </c>
      <c r="R5" s="1">
        <v>8.0</v>
      </c>
      <c r="S5" s="26" t="b">
        <v>1</v>
      </c>
      <c r="T5" s="27">
        <f t="shared" ref="T5:T19" si="5">IFERROR(SUM(U5:AC5)/COUNTIF(U5:AC5,"&gt;0"),0)</f>
        <v>6.4</v>
      </c>
      <c r="U5" s="1">
        <f t="array" ref="U5">IF($S5,$P$25*MAX(0,$R5-1*IF(OR(ISNUMBER(SEARCH($O5,D$5)), ISNUMBER(SEARCH($Q5,D$5)), (ISNUMBER(SEARCH("All",D$5)))),$R5,SUMPRODUCT(--((ISNUMBER(SEARCH("All",D$6:D$104)) + ISNUMBER(SEARCH($O5,D$6:D$104)) + ISNUMBER(SEARCH($Q5,D$6:D$104)) +  ISNUMBER(SEARCH($P5,D$6:D$104))) &gt; 0),$C$6:$C$104))),$S$26*$P$25*MAX(0,$R5-1*IF(OR(ISNUMBER(SEARCH($O5,D$5)), ISNUMBER(SEARCH($Q5,D$5)), (ISNUMBER(SEARCH("All",D$5)))),$R5,SUMPRODUCT(--((ISNUMBER(SEARCH("All",D$6:D$104)) + ISNUMBER(SEARCH($O5,D$6:D$104)) + ISNUMBER(SEARCH($Q5,D$6:D$104)) +  ISNUMBER(SEARCH($P5,D$6:D$104))) &gt; 0),$C$6:$C$104))))</f>
        <v>6.4</v>
      </c>
      <c r="V5" s="1">
        <f t="array" ref="V5">IF($S5,$P$25*MAX(0,$R5-1*IF(OR(ISNUMBER(SEARCH($O5,E$5)), ISNUMBER(SEARCH($Q5,E$5)), (ISNUMBER(SEARCH("All",E$5)))),$R5,SUMPRODUCT(--((ISNUMBER(SEARCH("All",E$6:E$104)) + ISNUMBER(SEARCH($O5,E$6:E$104)) + ISNUMBER(SEARCH($Q5,E$6:E$104)) +  ISNUMBER(SEARCH($P5,E$6:E$104))) &gt; 0),$C$6:$C$104))),$S$26*$P$25*MAX(0,$R5-1*IF(OR(ISNUMBER(SEARCH($O5,E$5)), ISNUMBER(SEARCH($Q5,E$5)), (ISNUMBER(SEARCH("All",E$5)))),$R5,SUMPRODUCT(--((ISNUMBER(SEARCH("All",E$6:E$104)) + ISNUMBER(SEARCH($O5,E$6:E$104)) + ISNUMBER(SEARCH($Q5,E$6:E$104)) +  ISNUMBER(SEARCH($P5,E$6:E$104))) &gt; 0),$C$6:$C$104))))</f>
        <v>6.4</v>
      </c>
      <c r="W5" s="1">
        <f t="array" ref="W5">IF($S5,$P$25*MAX(0,$R5-1*IF(OR(ISNUMBER(SEARCH($O5,F$5)), ISNUMBER(SEARCH($Q5,F$5)), (ISNUMBER(SEARCH("All",F$5)))),$R5,SUMPRODUCT(--((ISNUMBER(SEARCH("All",F$6:F$104)) + ISNUMBER(SEARCH($O5,F$6:F$104)) + ISNUMBER(SEARCH($Q5,F$6:F$104)) +  ISNUMBER(SEARCH($P5,F$6:F$104))) &gt; 0),$C$6:$C$104))),$S$26*$P$25*MAX(0,$R5-1*IF(OR(ISNUMBER(SEARCH($O5,F$5)), ISNUMBER(SEARCH($Q5,F$5)), (ISNUMBER(SEARCH("All",F$5)))),$R5,SUMPRODUCT(--((ISNUMBER(SEARCH("All",F$6:F$104)) + ISNUMBER(SEARCH($O5,F$6:F$104)) + ISNUMBER(SEARCH($Q5,F$6:F$104)) +  ISNUMBER(SEARCH($P5,F$6:F$104))) &gt; 0),$C$6:$C$104))))</f>
        <v>6.4</v>
      </c>
      <c r="X5" s="1">
        <f t="array" ref="X5">IF($S5,$P$25*MAX(0,$R5-1*IF(OR(ISNUMBER(SEARCH($O5,G$5)), ISNUMBER(SEARCH($Q5,G$5)), (ISNUMBER(SEARCH("All",G$5)))),$R5,SUMPRODUCT(--((ISNUMBER(SEARCH("All",G$6:G$104)) + ISNUMBER(SEARCH($O5,G$6:G$104)) + ISNUMBER(SEARCH($Q5,G$6:G$104)) +  ISNUMBER(SEARCH($P5,G$6:G$104))) &gt; 0),$C$6:$C$104))),$S$26*$P$25*MAX(0,$R5-1*IF(OR(ISNUMBER(SEARCH($O5,G$5)), ISNUMBER(SEARCH($Q5,G$5)), (ISNUMBER(SEARCH("All",G$5)))),$R5,SUMPRODUCT(--((ISNUMBER(SEARCH("All",G$6:G$104)) + ISNUMBER(SEARCH($O5,G$6:G$104)) + ISNUMBER(SEARCH($Q5,G$6:G$104)) +  ISNUMBER(SEARCH($P5,G$6:G$104))) &gt; 0),$C$6:$C$104))))</f>
        <v>6.4</v>
      </c>
      <c r="Y5" s="1">
        <f t="array" ref="Y5">IF($S5,$P$25*MAX(0,$R5-1*IF(OR(ISNUMBER(SEARCH($O5,H$5)), ISNUMBER(SEARCH($Q5,H$5)), (ISNUMBER(SEARCH("All",H$5)))),$R5,SUMPRODUCT(--((ISNUMBER(SEARCH("All",H$6:H$104)) + ISNUMBER(SEARCH($O5,H$6:H$104)) + ISNUMBER(SEARCH($Q5,H$6:H$104)) +  ISNUMBER(SEARCH($P5,H$6:H$104))) &gt; 0),$C$6:$C$104))),$S$26*$P$25*MAX(0,$R5-1*IF(OR(ISNUMBER(SEARCH($O5,H$5)), ISNUMBER(SEARCH($Q5,H$5)), (ISNUMBER(SEARCH("All",H$5)))),$R5,SUMPRODUCT(--((ISNUMBER(SEARCH("All",H$6:H$104)) + ISNUMBER(SEARCH($O5,H$6:H$104)) + ISNUMBER(SEARCH($Q5,H$6:H$104)) +  ISNUMBER(SEARCH($P5,H$6:H$104))) &gt; 0),$C$6:$C$104))))</f>
        <v>6.4</v>
      </c>
      <c r="Z5" s="1">
        <f t="array" ref="Z5">IF($S5,$P$25*MAX(0,$R5-1*IF(OR(ISNUMBER(SEARCH($O5,I$5)), ISNUMBER(SEARCH($Q5,I$5)), (ISNUMBER(SEARCH("All",I$5)))),$R5,SUMPRODUCT(--((ISNUMBER(SEARCH("All",I$6:I$104)) + ISNUMBER(SEARCH($O5,I$6:I$104)) + ISNUMBER(SEARCH($Q5,I$6:I$104)) +  ISNUMBER(SEARCH($P5,I$6:I$104))) &gt; 0),$C$6:$C$104))),$S$26*$P$25*MAX(0,$R5-1*IF(OR(ISNUMBER(SEARCH($O5,I$5)), ISNUMBER(SEARCH($Q5,I$5)), (ISNUMBER(SEARCH("All",I$5)))),$R5,SUMPRODUCT(--((ISNUMBER(SEARCH("All",I$6:I$104)) + ISNUMBER(SEARCH($O5,I$6:I$104)) + ISNUMBER(SEARCH($Q5,I$6:I$104)) +  ISNUMBER(SEARCH($P5,I$6:I$104))) &gt; 0),$C$6:$C$104))))</f>
        <v>6.4</v>
      </c>
      <c r="AA5" s="1">
        <f t="array" ref="AA5">IF($S5,$P$25*MAX(0,$R5-1*IF(OR(ISNUMBER(SEARCH($O5,J$5)), ISNUMBER(SEARCH($Q5,J$5)), (ISNUMBER(SEARCH("All",J$5)))),$R5,SUMPRODUCT(--((ISNUMBER(SEARCH("All",J$6:J$104)) + ISNUMBER(SEARCH($O5,J$6:J$104)) + ISNUMBER(SEARCH($Q5,J$6:J$104)) +  ISNUMBER(SEARCH($P5,J$6:J$104))) &gt; 0),$C$6:$C$104))),$S$26*$P$25*MAX(0,$R5-1*IF(OR(ISNUMBER(SEARCH($O5,J$5)), ISNUMBER(SEARCH($Q5,J$5)), (ISNUMBER(SEARCH("All",J$5)))),$R5,SUMPRODUCT(--((ISNUMBER(SEARCH("All",J$6:J$104)) + ISNUMBER(SEARCH($O5,J$6:J$104)) + ISNUMBER(SEARCH($Q5,J$6:J$104)) +  ISNUMBER(SEARCH($P5,J$6:J$104))) &gt; 0),$C$6:$C$104))))</f>
        <v>6.4</v>
      </c>
      <c r="AB5" s="1">
        <f t="array" ref="AB5">IF($S5,$P$25*MAX(0,$R5-1*IF(OR(ISNUMBER(SEARCH($O5,K$5)), ISNUMBER(SEARCH($Q5,K$5)), (ISNUMBER(SEARCH("All",K$5)))),$R5,SUMPRODUCT(--((ISNUMBER(SEARCH("All",K$6:K$104)) + ISNUMBER(SEARCH($O5,K$6:K$104)) + ISNUMBER(SEARCH($Q5,K$6:K$104)) +  ISNUMBER(SEARCH($P5,K$6:K$104))) &gt; 0),$C$6:$C$104))),$S$26*$P$25*MAX(0,$R5-1*IF(OR(ISNUMBER(SEARCH($O5,K$5)), ISNUMBER(SEARCH($Q5,K$5)), (ISNUMBER(SEARCH("All",K$5)))),$R5,SUMPRODUCT(--((ISNUMBER(SEARCH("All",K$6:K$104)) + ISNUMBER(SEARCH($O5,K$6:K$104)) + ISNUMBER(SEARCH($Q5,K$6:K$104)) +  ISNUMBER(SEARCH($P5,K$6:K$104))) &gt; 0),$C$6:$C$104))))</f>
        <v>6.4</v>
      </c>
      <c r="AC5" s="1">
        <f t="array" ref="AC5">IF($S5,$P$25*MAX(0,$R5-1*IF(OR(ISNUMBER(SEARCH($O5,L$5)), ISNUMBER(SEARCH($Q5,L$5)), (ISNUMBER(SEARCH("All",L$5)))),$R5,SUMPRODUCT(--((ISNUMBER(SEARCH("All",L$6:L$104)) + ISNUMBER(SEARCH($O5,L$6:L$104)) + ISNUMBER(SEARCH($Q5,L$6:L$104)) +  ISNUMBER(SEARCH($P5,L$6:L$104))) &gt; 0),$C$6:$C$104))),$S$26*$P$25*MAX(0,$R5-1*IF(OR(ISNUMBER(SEARCH($O5,L$5)), ISNUMBER(SEARCH($Q5,L$5)), (ISNUMBER(SEARCH("All",L$5)))),$R5,SUMPRODUCT(--((ISNUMBER(SEARCH("All",L$6:L$104)) + ISNUMBER(SEARCH($O5,L$6:L$104)) + ISNUMBER(SEARCH($Q5,L$6:L$104)) +  ISNUMBER(SEARCH($P5,L$6:L$104))) &gt; 0),$C$6:$C$104))))</f>
        <v>6.4</v>
      </c>
      <c r="AD5" s="1">
        <f t="array" ref="AD5">IF($S5,$P$25*MAX(0,$R5-1*IF(OR(ISNUMBER(SEARCH($O5,M$5)), ISNUMBER(SEARCH($Q5,M$5)), (ISNUMBER(SEARCH("All",M$5)))),$R5,SUMPRODUCT(--((ISNUMBER(SEARCH("All",M$6:M$104)) + ISNUMBER(SEARCH($O5,M$6:M$104)) + ISNUMBER(SEARCH($Q5,M$6:M$104)) +  ISNUMBER(SEARCH($P5,M$6:M$104))) &gt; 0),$C$6:$C$104))),$S$26*$P$25*MAX(0,$R5-1*IF(OR(ISNUMBER(SEARCH($O5,M$5)), ISNUMBER(SEARCH($Q5,M$5)), (ISNUMBER(SEARCH("All",M$5)))),$R5,SUMPRODUCT(--((ISNUMBER(SEARCH("All",M$6:M$104)) + ISNUMBER(SEARCH($O5,M$6:M$104)) + ISNUMBER(SEARCH($Q5,M$6:M$104)) +  ISNUMBER(SEARCH($P5,M$6:M$104))) &gt; 0),$C$6:$C$104))))</f>
        <v>6.4</v>
      </c>
      <c r="AE5" s="6"/>
      <c r="AF5" s="6">
        <f t="shared" ref="AF5:AF19" si="6">SUM(U5:AD5)</f>
        <v>64</v>
      </c>
      <c r="AG5" s="6"/>
      <c r="AH5" s="6"/>
      <c r="AI5" s="6"/>
      <c r="AJ5" s="28">
        <f>U3</f>
        <v>45127</v>
      </c>
      <c r="AK5" s="29"/>
      <c r="AL5" s="29"/>
      <c r="AM5" s="30"/>
      <c r="AN5" s="31"/>
      <c r="AP5" s="32">
        <f t="shared" ref="AP5:AP14" si="7">(40*AK5)+(8*AL5) + AM5+(AN5/60)</f>
        <v>0</v>
      </c>
      <c r="AQ5" s="33" t="str">
        <f t="shared" ref="AQ5:AQ14" si="8">IF(OR(ISNUMBER(AK5),ISNUMBER(AL5),ISNUMBER(AM5),ISNUMBER(AN5)),(1-AP5/$AK$1),"")</f>
        <v/>
      </c>
      <c r="AR5" s="34">
        <f>AV5</f>
        <v>0.07</v>
      </c>
      <c r="AS5" s="35">
        <f t="shared" ref="AS5:AS14" si="9">IFERROR(AU5*$AK$1,"")</f>
        <v>0</v>
      </c>
      <c r="AT5" s="35">
        <f t="shared" ref="AT5:AT14" si="10">AV5*$AK$1</f>
        <v>0</v>
      </c>
      <c r="AU5" s="33" t="str">
        <f>IF(AQ5&lt;=100,AQ5,"")</f>
        <v/>
      </c>
      <c r="AV5" s="36">
        <f>ROUND(U23,2)</f>
        <v>0.07</v>
      </c>
      <c r="AW5" s="6" t="str">
        <f>U$4</f>
        <v>czw.</v>
      </c>
      <c r="AX5" s="29"/>
      <c r="AY5" s="29"/>
      <c r="AZ5" s="37" t="str">
        <f t="shared" ref="AZ5:AZ14" si="11">IF(AY5&gt;0,AY5/AX5, "")</f>
        <v/>
      </c>
      <c r="BA5" s="38"/>
      <c r="BB5" s="39"/>
      <c r="BO5" s="6"/>
    </row>
    <row r="6">
      <c r="A6" s="7"/>
      <c r="B6" s="40"/>
      <c r="C6" s="6">
        <v>4.5</v>
      </c>
      <c r="D6" s="41"/>
      <c r="E6" s="6"/>
      <c r="F6" s="6"/>
      <c r="G6" s="6"/>
      <c r="H6" s="6"/>
      <c r="I6" s="6"/>
      <c r="J6" s="6"/>
      <c r="K6" s="6"/>
      <c r="L6" s="6"/>
      <c r="M6" s="42"/>
      <c r="N6" s="6"/>
      <c r="P6" s="1" t="s">
        <v>58</v>
      </c>
      <c r="Q6" s="1" t="s">
        <v>57</v>
      </c>
      <c r="R6" s="1">
        <v>8.0</v>
      </c>
      <c r="S6" s="26" t="b">
        <v>1</v>
      </c>
      <c r="T6" s="27">
        <f t="shared" si="5"/>
        <v>6.4</v>
      </c>
      <c r="U6" s="1">
        <f t="array" ref="U6">IF($S6,$P$25*MAX(0,$R6-1*IF(OR(ISNUMBER(SEARCH($O6,D$5)), ISNUMBER(SEARCH($Q6,D$5)), (ISNUMBER(SEARCH("All",D$5)))),$R6,SUMPRODUCT(--((ISNUMBER(SEARCH("All",D$6:D$104)) + ISNUMBER(SEARCH($O6,D$6:D$104)) + ISNUMBER(SEARCH($Q6,D$6:D$104)) +  ISNUMBER(SEARCH($P6,D$6:D$104))) &gt; 0),$C$6:$C$104))),$S$26*$P$25*MAX(0,$R6-1*IF(OR(ISNUMBER(SEARCH($O6,D$5)), ISNUMBER(SEARCH($Q6,D$5)), (ISNUMBER(SEARCH("All",D$5)))),$R6,SUMPRODUCT(--((ISNUMBER(SEARCH("All",D$6:D$104)) + ISNUMBER(SEARCH($O6,D$6:D$104)) + ISNUMBER(SEARCH($Q6,D$6:D$104)) +  ISNUMBER(SEARCH($P6,D$6:D$104))) &gt; 0),$C$6:$C$104))))</f>
        <v>6.4</v>
      </c>
      <c r="V6" s="1">
        <f t="array" ref="V6">IF($S6,$P$25*MAX(0,$R6-1*IF(OR(ISNUMBER(SEARCH($O6,E$5)), ISNUMBER(SEARCH($Q6,E$5)), (ISNUMBER(SEARCH("All",E$5)))),$R6,SUMPRODUCT(--((ISNUMBER(SEARCH("All",E$6:E$104)) + ISNUMBER(SEARCH($O6,E$6:E$104)) + ISNUMBER(SEARCH($Q6,E$6:E$104)) +  ISNUMBER(SEARCH($P6,E$6:E$104))) &gt; 0),$C$6:$C$104))),$S$26*$P$25*MAX(0,$R6-1*IF(OR(ISNUMBER(SEARCH($O6,E$5)), ISNUMBER(SEARCH($Q6,E$5)), (ISNUMBER(SEARCH("All",E$5)))),$R6,SUMPRODUCT(--((ISNUMBER(SEARCH("All",E$6:E$104)) + ISNUMBER(SEARCH($O6,E$6:E$104)) + ISNUMBER(SEARCH($Q6,E$6:E$104)) +  ISNUMBER(SEARCH($P6,E$6:E$104))) &gt; 0),$C$6:$C$104))))</f>
        <v>6.4</v>
      </c>
      <c r="W6" s="1">
        <f t="array" ref="W6">IF($S6,$P$25*MAX(0,$R6-1*IF(OR(ISNUMBER(SEARCH($O6,F$5)), ISNUMBER(SEARCH($Q6,F$5)), (ISNUMBER(SEARCH("All",F$5)))),$R6,SUMPRODUCT(--((ISNUMBER(SEARCH("All",F$6:F$104)) + ISNUMBER(SEARCH($O6,F$6:F$104)) + ISNUMBER(SEARCH($Q6,F$6:F$104)) +  ISNUMBER(SEARCH($P6,F$6:F$104))) &gt; 0),$C$6:$C$104))),$S$26*$P$25*MAX(0,$R6-1*IF(OR(ISNUMBER(SEARCH($O6,F$5)), ISNUMBER(SEARCH($Q6,F$5)), (ISNUMBER(SEARCH("All",F$5)))),$R6,SUMPRODUCT(--((ISNUMBER(SEARCH("All",F$6:F$104)) + ISNUMBER(SEARCH($O6,F$6:F$104)) + ISNUMBER(SEARCH($Q6,F$6:F$104)) +  ISNUMBER(SEARCH($P6,F$6:F$104))) &gt; 0),$C$6:$C$104))))</f>
        <v>6.4</v>
      </c>
      <c r="X6" s="1">
        <f t="array" ref="X6">IF($S6,$P$25*MAX(0,$R6-1*IF(OR(ISNUMBER(SEARCH($O6,G$5)), ISNUMBER(SEARCH($Q6,G$5)), (ISNUMBER(SEARCH("All",G$5)))),$R6,SUMPRODUCT(--((ISNUMBER(SEARCH("All",G$6:G$104)) + ISNUMBER(SEARCH($O6,G$6:G$104)) + ISNUMBER(SEARCH($Q6,G$6:G$104)) +  ISNUMBER(SEARCH($P6,G$6:G$104))) &gt; 0),$C$6:$C$104))),$S$26*$P$25*MAX(0,$R6-1*IF(OR(ISNUMBER(SEARCH($O6,G$5)), ISNUMBER(SEARCH($Q6,G$5)), (ISNUMBER(SEARCH("All",G$5)))),$R6,SUMPRODUCT(--((ISNUMBER(SEARCH("All",G$6:G$104)) + ISNUMBER(SEARCH($O6,G$6:G$104)) + ISNUMBER(SEARCH($Q6,G$6:G$104)) +  ISNUMBER(SEARCH($P6,G$6:G$104))) &gt; 0),$C$6:$C$104))))</f>
        <v>6.4</v>
      </c>
      <c r="Y6" s="1">
        <f t="array" ref="Y6">IF($S6,$P$25*MAX(0,$R6-1*IF(OR(ISNUMBER(SEARCH($O6,H$5)), ISNUMBER(SEARCH($Q6,H$5)), (ISNUMBER(SEARCH("All",H$5)))),$R6,SUMPRODUCT(--((ISNUMBER(SEARCH("All",H$6:H$104)) + ISNUMBER(SEARCH($O6,H$6:H$104)) + ISNUMBER(SEARCH($Q6,H$6:H$104)) +  ISNUMBER(SEARCH($P6,H$6:H$104))) &gt; 0),$C$6:$C$104))),$S$26*$P$25*MAX(0,$R6-1*IF(OR(ISNUMBER(SEARCH($O6,H$5)), ISNUMBER(SEARCH($Q6,H$5)), (ISNUMBER(SEARCH("All",H$5)))),$R6,SUMPRODUCT(--((ISNUMBER(SEARCH("All",H$6:H$104)) + ISNUMBER(SEARCH($O6,H$6:H$104)) + ISNUMBER(SEARCH($Q6,H$6:H$104)) +  ISNUMBER(SEARCH($P6,H$6:H$104))) &gt; 0),$C$6:$C$104))))</f>
        <v>6.4</v>
      </c>
      <c r="Z6" s="1">
        <f t="array" ref="Z6">IF($S6,$P$25*MAX(0,$R6-1*IF(OR(ISNUMBER(SEARCH($O6,I$5)), ISNUMBER(SEARCH($Q6,I$5)), (ISNUMBER(SEARCH("All",I$5)))),$R6,SUMPRODUCT(--((ISNUMBER(SEARCH("All",I$6:I$104)) + ISNUMBER(SEARCH($O6,I$6:I$104)) + ISNUMBER(SEARCH($Q6,I$6:I$104)) +  ISNUMBER(SEARCH($P6,I$6:I$104))) &gt; 0),$C$6:$C$104))),$S$26*$P$25*MAX(0,$R6-1*IF(OR(ISNUMBER(SEARCH($O6,I$5)), ISNUMBER(SEARCH($Q6,I$5)), (ISNUMBER(SEARCH("All",I$5)))),$R6,SUMPRODUCT(--((ISNUMBER(SEARCH("All",I$6:I$104)) + ISNUMBER(SEARCH($O6,I$6:I$104)) + ISNUMBER(SEARCH($Q6,I$6:I$104)) +  ISNUMBER(SEARCH($P6,I$6:I$104))) &gt; 0),$C$6:$C$104))))</f>
        <v>6.4</v>
      </c>
      <c r="AA6" s="1">
        <f t="array" ref="AA6">IF($S6,$P$25*MAX(0,$R6-1*IF(OR(ISNUMBER(SEARCH($O6,J$5)), ISNUMBER(SEARCH($Q6,J$5)), (ISNUMBER(SEARCH("All",J$5)))),$R6,SUMPRODUCT(--((ISNUMBER(SEARCH("All",J$6:J$104)) + ISNUMBER(SEARCH($O6,J$6:J$104)) + ISNUMBER(SEARCH($Q6,J$6:J$104)) +  ISNUMBER(SEARCH($P6,J$6:J$104))) &gt; 0),$C$6:$C$104))),$S$26*$P$25*MAX(0,$R6-1*IF(OR(ISNUMBER(SEARCH($O6,J$5)), ISNUMBER(SEARCH($Q6,J$5)), (ISNUMBER(SEARCH("All",J$5)))),$R6,SUMPRODUCT(--((ISNUMBER(SEARCH("All",J$6:J$104)) + ISNUMBER(SEARCH($O6,J$6:J$104)) + ISNUMBER(SEARCH($Q6,J$6:J$104)) +  ISNUMBER(SEARCH($P6,J$6:J$104))) &gt; 0),$C$6:$C$104))))</f>
        <v>6.4</v>
      </c>
      <c r="AB6" s="1">
        <f t="array" ref="AB6">IF($S6,$P$25*MAX(0,$R6-1*IF(OR(ISNUMBER(SEARCH($O6,K$5)), ISNUMBER(SEARCH($Q6,K$5)), (ISNUMBER(SEARCH("All",K$5)))),$R6,SUMPRODUCT(--((ISNUMBER(SEARCH("All",K$6:K$104)) + ISNUMBER(SEARCH($O6,K$6:K$104)) + ISNUMBER(SEARCH($Q6,K$6:K$104)) +  ISNUMBER(SEARCH($P6,K$6:K$104))) &gt; 0),$C$6:$C$104))),$S$26*$P$25*MAX(0,$R6-1*IF(OR(ISNUMBER(SEARCH($O6,K$5)), ISNUMBER(SEARCH($Q6,K$5)), (ISNUMBER(SEARCH("All",K$5)))),$R6,SUMPRODUCT(--((ISNUMBER(SEARCH("All",K$6:K$104)) + ISNUMBER(SEARCH($O6,K$6:K$104)) + ISNUMBER(SEARCH($Q6,K$6:K$104)) +  ISNUMBER(SEARCH($P6,K$6:K$104))) &gt; 0),$C$6:$C$104))))</f>
        <v>6.4</v>
      </c>
      <c r="AC6" s="1">
        <f t="array" ref="AC6">IF($S6,$P$25*MAX(0,$R6-1*IF(OR(ISNUMBER(SEARCH($O6,L$5)), ISNUMBER(SEARCH($Q6,L$5)), (ISNUMBER(SEARCH("All",L$5)))),$R6,SUMPRODUCT(--((ISNUMBER(SEARCH("All",L$6:L$104)) + ISNUMBER(SEARCH($O6,L$6:L$104)) + ISNUMBER(SEARCH($Q6,L$6:L$104)) +  ISNUMBER(SEARCH($P6,L$6:L$104))) &gt; 0),$C$6:$C$104))),$S$26*$P$25*MAX(0,$R6-1*IF(OR(ISNUMBER(SEARCH($O6,L$5)), ISNUMBER(SEARCH($Q6,L$5)), (ISNUMBER(SEARCH("All",L$5)))),$R6,SUMPRODUCT(--((ISNUMBER(SEARCH("All",L$6:L$104)) + ISNUMBER(SEARCH($O6,L$6:L$104)) + ISNUMBER(SEARCH($Q6,L$6:L$104)) +  ISNUMBER(SEARCH($P6,L$6:L$104))) &gt; 0),$C$6:$C$104))))</f>
        <v>6.4</v>
      </c>
      <c r="AD6" s="1">
        <f t="array" ref="AD6">IF($S6,$P$25*MAX(0,$R6-1*IF(OR(ISNUMBER(SEARCH($O6,M$5)), ISNUMBER(SEARCH($Q6,M$5)), (ISNUMBER(SEARCH("All",M$5)))),$R6,SUMPRODUCT(--((ISNUMBER(SEARCH("All",M$6:M$104)) + ISNUMBER(SEARCH($O6,M$6:M$104)) + ISNUMBER(SEARCH($Q6,M$6:M$104)) +  ISNUMBER(SEARCH($P6,M$6:M$104))) &gt; 0),$C$6:$C$104))),$S$26*$P$25*MAX(0,$R6-1*IF(OR(ISNUMBER(SEARCH($O6,M$5)), ISNUMBER(SEARCH($Q6,M$5)), (ISNUMBER(SEARCH("All",M$5)))),$R6,SUMPRODUCT(--((ISNUMBER(SEARCH("All",M$6:M$104)) + ISNUMBER(SEARCH($O6,M$6:M$104)) + ISNUMBER(SEARCH($Q6,M$6:M$104)) +  ISNUMBER(SEARCH($P6,M$6:M$104))) &gt; 0),$C$6:$C$104))))</f>
        <v>6.4</v>
      </c>
      <c r="AE6" s="6"/>
      <c r="AF6" s="6">
        <f t="shared" si="6"/>
        <v>64</v>
      </c>
      <c r="AG6" s="6"/>
      <c r="AH6" s="6"/>
      <c r="AI6" s="6"/>
      <c r="AJ6" s="28">
        <f t="shared" ref="AJ6:AJ14" si="12">WORKDAY(AJ5,1)</f>
        <v>45128</v>
      </c>
      <c r="AK6" s="26"/>
      <c r="AL6" s="26"/>
      <c r="AM6" s="43"/>
      <c r="AN6" s="44"/>
      <c r="AO6" s="6"/>
      <c r="AP6" s="32">
        <f t="shared" si="7"/>
        <v>0</v>
      </c>
      <c r="AQ6" s="33" t="str">
        <f t="shared" si="8"/>
        <v/>
      </c>
      <c r="AR6" s="34">
        <f t="shared" ref="AR6:AR14" si="13">AR5+AV6</f>
        <v>0.14</v>
      </c>
      <c r="AS6" s="35">
        <f t="shared" si="9"/>
        <v>0</v>
      </c>
      <c r="AT6" s="35">
        <f t="shared" si="10"/>
        <v>0</v>
      </c>
      <c r="AU6" s="33" t="str">
        <f t="shared" ref="AU6:AU14" si="14">IF(AQ6&lt;=100,AQ6-AQ5,"")</f>
        <v/>
      </c>
      <c r="AV6" s="36">
        <f>ROUND(V23,2)</f>
        <v>0.07</v>
      </c>
      <c r="AW6" s="6" t="str">
        <f>V$4</f>
        <v>pt.</v>
      </c>
      <c r="AX6" s="29"/>
      <c r="AY6" s="29"/>
      <c r="AZ6" s="37" t="str">
        <f t="shared" si="11"/>
        <v/>
      </c>
      <c r="BA6" s="38"/>
      <c r="BB6" s="26"/>
      <c r="BO6" s="6"/>
    </row>
    <row r="7">
      <c r="A7" s="7"/>
      <c r="B7" s="40"/>
      <c r="C7" s="6">
        <v>8.0</v>
      </c>
      <c r="D7" s="41"/>
      <c r="E7" s="6"/>
      <c r="F7" s="6"/>
      <c r="G7" s="6"/>
      <c r="H7" s="6"/>
      <c r="I7" s="6"/>
      <c r="J7" s="6"/>
      <c r="K7" s="6"/>
      <c r="L7" s="6"/>
      <c r="M7" s="42"/>
      <c r="N7" s="6"/>
      <c r="P7" s="1" t="s">
        <v>56</v>
      </c>
      <c r="Q7" s="1" t="s">
        <v>57</v>
      </c>
      <c r="R7" s="1">
        <v>8.0</v>
      </c>
      <c r="S7" s="26" t="b">
        <v>1</v>
      </c>
      <c r="T7" s="27">
        <f t="shared" si="5"/>
        <v>6.4</v>
      </c>
      <c r="U7" s="1">
        <f t="array" ref="U7">IF($S7,$P$25*MAX(0,$R7-1*IF(OR(ISNUMBER(SEARCH($O7,D$5)), ISNUMBER(SEARCH($Q7,D$5)), (ISNUMBER(SEARCH("All",D$5)))),$R7,SUMPRODUCT(--((ISNUMBER(SEARCH("All",D$6:D$104)) + ISNUMBER(SEARCH($O7,D$6:D$104)) + ISNUMBER(SEARCH($Q7,D$6:D$104)) +  ISNUMBER(SEARCH($P7,D$6:D$104))) &gt; 0),$C$6:$C$104))),$S$26*$P$25*MAX(0,$R7-1*IF(OR(ISNUMBER(SEARCH($O7,D$5)), ISNUMBER(SEARCH($Q7,D$5)), (ISNUMBER(SEARCH("All",D$5)))),$R7,SUMPRODUCT(--((ISNUMBER(SEARCH("All",D$6:D$104)) + ISNUMBER(SEARCH($O7,D$6:D$104)) + ISNUMBER(SEARCH($Q7,D$6:D$104)) +  ISNUMBER(SEARCH($P7,D$6:D$104))) &gt; 0),$C$6:$C$104))))</f>
        <v>6.4</v>
      </c>
      <c r="V7" s="1">
        <f t="array" ref="V7">IF($S7,$P$25*MAX(0,$R7-1*IF(OR(ISNUMBER(SEARCH($O7,E$5)), ISNUMBER(SEARCH($Q7,E$5)), (ISNUMBER(SEARCH("All",E$5)))),$R7,SUMPRODUCT(--((ISNUMBER(SEARCH("All",E$6:E$104)) + ISNUMBER(SEARCH($O7,E$6:E$104)) + ISNUMBER(SEARCH($Q7,E$6:E$104)) +  ISNUMBER(SEARCH($P7,E$6:E$104))) &gt; 0),$C$6:$C$104))),$S$26*$P$25*MAX(0,$R7-1*IF(OR(ISNUMBER(SEARCH($O7,E$5)), ISNUMBER(SEARCH($Q7,E$5)), (ISNUMBER(SEARCH("All",E$5)))),$R7,SUMPRODUCT(--((ISNUMBER(SEARCH("All",E$6:E$104)) + ISNUMBER(SEARCH($O7,E$6:E$104)) + ISNUMBER(SEARCH($Q7,E$6:E$104)) +  ISNUMBER(SEARCH($P7,E$6:E$104))) &gt; 0),$C$6:$C$104))))</f>
        <v>6.4</v>
      </c>
      <c r="W7" s="1">
        <f t="array" ref="W7">IF($S7,$P$25*MAX(0,$R7-1*IF(OR(ISNUMBER(SEARCH($O7,F$5)), ISNUMBER(SEARCH($Q7,F$5)), (ISNUMBER(SEARCH("All",F$5)))),$R7,SUMPRODUCT(--((ISNUMBER(SEARCH("All",F$6:F$104)) + ISNUMBER(SEARCH($O7,F$6:F$104)) + ISNUMBER(SEARCH($Q7,F$6:F$104)) +  ISNUMBER(SEARCH($P7,F$6:F$104))) &gt; 0),$C$6:$C$104))),$S$26*$P$25*MAX(0,$R7-1*IF(OR(ISNUMBER(SEARCH($O7,F$5)), ISNUMBER(SEARCH($Q7,F$5)), (ISNUMBER(SEARCH("All",F$5)))),$R7,SUMPRODUCT(--((ISNUMBER(SEARCH("All",F$6:F$104)) + ISNUMBER(SEARCH($O7,F$6:F$104)) + ISNUMBER(SEARCH($Q7,F$6:F$104)) +  ISNUMBER(SEARCH($P7,F$6:F$104))) &gt; 0),$C$6:$C$104))))</f>
        <v>6.4</v>
      </c>
      <c r="X7" s="1">
        <f t="array" ref="X7">IF($S7,$P$25*MAX(0,$R7-1*IF(OR(ISNUMBER(SEARCH($O7,G$5)), ISNUMBER(SEARCH($Q7,G$5)), (ISNUMBER(SEARCH("All",G$5)))),$R7,SUMPRODUCT(--((ISNUMBER(SEARCH("All",G$6:G$104)) + ISNUMBER(SEARCH($O7,G$6:G$104)) + ISNUMBER(SEARCH($Q7,G$6:G$104)) +  ISNUMBER(SEARCH($P7,G$6:G$104))) &gt; 0),$C$6:$C$104))),$S$26*$P$25*MAX(0,$R7-1*IF(OR(ISNUMBER(SEARCH($O7,G$5)), ISNUMBER(SEARCH($Q7,G$5)), (ISNUMBER(SEARCH("All",G$5)))),$R7,SUMPRODUCT(--((ISNUMBER(SEARCH("All",G$6:G$104)) + ISNUMBER(SEARCH($O7,G$6:G$104)) + ISNUMBER(SEARCH($Q7,G$6:G$104)) +  ISNUMBER(SEARCH($P7,G$6:G$104))) &gt; 0),$C$6:$C$104))))</f>
        <v>6.4</v>
      </c>
      <c r="Y7" s="1">
        <f t="array" ref="Y7">IF($S7,$P$25*MAX(0,$R7-1*IF(OR(ISNUMBER(SEARCH($O7,H$5)), ISNUMBER(SEARCH($Q7,H$5)), (ISNUMBER(SEARCH("All",H$5)))),$R7,SUMPRODUCT(--((ISNUMBER(SEARCH("All",H$6:H$104)) + ISNUMBER(SEARCH($O7,H$6:H$104)) + ISNUMBER(SEARCH($Q7,H$6:H$104)) +  ISNUMBER(SEARCH($P7,H$6:H$104))) &gt; 0),$C$6:$C$104))),$S$26*$P$25*MAX(0,$R7-1*IF(OR(ISNUMBER(SEARCH($O7,H$5)), ISNUMBER(SEARCH($Q7,H$5)), (ISNUMBER(SEARCH("All",H$5)))),$R7,SUMPRODUCT(--((ISNUMBER(SEARCH("All",H$6:H$104)) + ISNUMBER(SEARCH($O7,H$6:H$104)) + ISNUMBER(SEARCH($Q7,H$6:H$104)) +  ISNUMBER(SEARCH($P7,H$6:H$104))) &gt; 0),$C$6:$C$104))))</f>
        <v>6.4</v>
      </c>
      <c r="Z7" s="1">
        <f t="array" ref="Z7">IF($S7,$P$25*MAX(0,$R7-1*IF(OR(ISNUMBER(SEARCH($O7,I$5)), ISNUMBER(SEARCH($Q7,I$5)), (ISNUMBER(SEARCH("All",I$5)))),$R7,SUMPRODUCT(--((ISNUMBER(SEARCH("All",I$6:I$104)) + ISNUMBER(SEARCH($O7,I$6:I$104)) + ISNUMBER(SEARCH($Q7,I$6:I$104)) +  ISNUMBER(SEARCH($P7,I$6:I$104))) &gt; 0),$C$6:$C$104))),$S$26*$P$25*MAX(0,$R7-1*IF(OR(ISNUMBER(SEARCH($O7,I$5)), ISNUMBER(SEARCH($Q7,I$5)), (ISNUMBER(SEARCH("All",I$5)))),$R7,SUMPRODUCT(--((ISNUMBER(SEARCH("All",I$6:I$104)) + ISNUMBER(SEARCH($O7,I$6:I$104)) + ISNUMBER(SEARCH($Q7,I$6:I$104)) +  ISNUMBER(SEARCH($P7,I$6:I$104))) &gt; 0),$C$6:$C$104))))</f>
        <v>6.4</v>
      </c>
      <c r="AA7" s="1">
        <f t="array" ref="AA7">IF($S7,$P$25*MAX(0,$R7-1*IF(OR(ISNUMBER(SEARCH($O7,J$5)), ISNUMBER(SEARCH($Q7,J$5)), (ISNUMBER(SEARCH("All",J$5)))),$R7,SUMPRODUCT(--((ISNUMBER(SEARCH("All",J$6:J$104)) + ISNUMBER(SEARCH($O7,J$6:J$104)) + ISNUMBER(SEARCH($Q7,J$6:J$104)) +  ISNUMBER(SEARCH($P7,J$6:J$104))) &gt; 0),$C$6:$C$104))),$S$26*$P$25*MAX(0,$R7-1*IF(OR(ISNUMBER(SEARCH($O7,J$5)), ISNUMBER(SEARCH($Q7,J$5)), (ISNUMBER(SEARCH("All",J$5)))),$R7,SUMPRODUCT(--((ISNUMBER(SEARCH("All",J$6:J$104)) + ISNUMBER(SEARCH($O7,J$6:J$104)) + ISNUMBER(SEARCH($Q7,J$6:J$104)) +  ISNUMBER(SEARCH($P7,J$6:J$104))) &gt; 0),$C$6:$C$104))))</f>
        <v>6.4</v>
      </c>
      <c r="AB7" s="1">
        <f t="array" ref="AB7">IF($S7,$P$25*MAX(0,$R7-1*IF(OR(ISNUMBER(SEARCH($O7,K$5)), ISNUMBER(SEARCH($Q7,K$5)), (ISNUMBER(SEARCH("All",K$5)))),$R7,SUMPRODUCT(--((ISNUMBER(SEARCH("All",K$6:K$104)) + ISNUMBER(SEARCH($O7,K$6:K$104)) + ISNUMBER(SEARCH($Q7,K$6:K$104)) +  ISNUMBER(SEARCH($P7,K$6:K$104))) &gt; 0),$C$6:$C$104))),$S$26*$P$25*MAX(0,$R7-1*IF(OR(ISNUMBER(SEARCH($O7,K$5)), ISNUMBER(SEARCH($Q7,K$5)), (ISNUMBER(SEARCH("All",K$5)))),$R7,SUMPRODUCT(--((ISNUMBER(SEARCH("All",K$6:K$104)) + ISNUMBER(SEARCH($O7,K$6:K$104)) + ISNUMBER(SEARCH($Q7,K$6:K$104)) +  ISNUMBER(SEARCH($P7,K$6:K$104))) &gt; 0),$C$6:$C$104))))</f>
        <v>6.4</v>
      </c>
      <c r="AC7" s="1">
        <f t="array" ref="AC7">IF($S7,$P$25*MAX(0,$R7-1*IF(OR(ISNUMBER(SEARCH($O7,L$5)), ISNUMBER(SEARCH($Q7,L$5)), (ISNUMBER(SEARCH("All",L$5)))),$R7,SUMPRODUCT(--((ISNUMBER(SEARCH("All",L$6:L$104)) + ISNUMBER(SEARCH($O7,L$6:L$104)) + ISNUMBER(SEARCH($Q7,L$6:L$104)) +  ISNUMBER(SEARCH($P7,L$6:L$104))) &gt; 0),$C$6:$C$104))),$S$26*$P$25*MAX(0,$R7-1*IF(OR(ISNUMBER(SEARCH($O7,L$5)), ISNUMBER(SEARCH($Q7,L$5)), (ISNUMBER(SEARCH("All",L$5)))),$R7,SUMPRODUCT(--((ISNUMBER(SEARCH("All",L$6:L$104)) + ISNUMBER(SEARCH($O7,L$6:L$104)) + ISNUMBER(SEARCH($Q7,L$6:L$104)) +  ISNUMBER(SEARCH($P7,L$6:L$104))) &gt; 0),$C$6:$C$104))))</f>
        <v>6.4</v>
      </c>
      <c r="AD7" s="1">
        <f t="array" ref="AD7">IF($S7,$P$25*MAX(0,$R7-1*IF(OR(ISNUMBER(SEARCH($O7,M$5)), ISNUMBER(SEARCH($Q7,M$5)), (ISNUMBER(SEARCH("All",M$5)))),$R7,SUMPRODUCT(--((ISNUMBER(SEARCH("All",M$6:M$104)) + ISNUMBER(SEARCH($O7,M$6:M$104)) + ISNUMBER(SEARCH($Q7,M$6:M$104)) +  ISNUMBER(SEARCH($P7,M$6:M$104))) &gt; 0),$C$6:$C$104))),$S$26*$P$25*MAX(0,$R7-1*IF(OR(ISNUMBER(SEARCH($O7,M$5)), ISNUMBER(SEARCH($Q7,M$5)), (ISNUMBER(SEARCH("All",M$5)))),$R7,SUMPRODUCT(--((ISNUMBER(SEARCH("All",M$6:M$104)) + ISNUMBER(SEARCH($O7,M$6:M$104)) + ISNUMBER(SEARCH($Q7,M$6:M$104)) +  ISNUMBER(SEARCH($P7,M$6:M$104))) &gt; 0),$C$6:$C$104))))</f>
        <v>6.4</v>
      </c>
      <c r="AE7" s="6"/>
      <c r="AF7" s="6">
        <f t="shared" si="6"/>
        <v>64</v>
      </c>
      <c r="AG7" s="6"/>
      <c r="AH7" s="6"/>
      <c r="AI7" s="6"/>
      <c r="AJ7" s="28">
        <f t="shared" si="12"/>
        <v>45131</v>
      </c>
      <c r="AK7" s="26"/>
      <c r="AL7" s="26"/>
      <c r="AM7" s="43"/>
      <c r="AN7" s="44"/>
      <c r="AO7" s="6"/>
      <c r="AP7" s="32">
        <f t="shared" si="7"/>
        <v>0</v>
      </c>
      <c r="AQ7" s="33" t="str">
        <f t="shared" si="8"/>
        <v/>
      </c>
      <c r="AR7" s="34">
        <f t="shared" si="13"/>
        <v>0.21</v>
      </c>
      <c r="AS7" s="35">
        <f t="shared" si="9"/>
        <v>0</v>
      </c>
      <c r="AT7" s="35">
        <f t="shared" si="10"/>
        <v>0</v>
      </c>
      <c r="AU7" s="33" t="str">
        <f t="shared" si="14"/>
        <v/>
      </c>
      <c r="AV7" s="36">
        <f>ROUND(W23,2)</f>
        <v>0.07</v>
      </c>
      <c r="AW7" s="6" t="str">
        <f>W$4</f>
        <v>pon.</v>
      </c>
      <c r="AX7" s="29"/>
      <c r="AY7" s="29"/>
      <c r="AZ7" s="37" t="str">
        <f t="shared" si="11"/>
        <v/>
      </c>
      <c r="BA7" s="38"/>
      <c r="BB7" s="26"/>
      <c r="BO7" s="6"/>
    </row>
    <row r="8">
      <c r="A8" s="7"/>
      <c r="B8" s="40"/>
      <c r="C8" s="6">
        <v>0.25</v>
      </c>
      <c r="D8" s="6"/>
      <c r="E8" s="6"/>
      <c r="F8" s="6"/>
      <c r="G8" s="6"/>
      <c r="H8" s="6"/>
      <c r="I8" s="6"/>
      <c r="J8" s="6"/>
      <c r="K8" s="6"/>
      <c r="L8" s="6"/>
      <c r="M8" s="42"/>
      <c r="N8" s="6"/>
      <c r="P8" s="1" t="s">
        <v>58</v>
      </c>
      <c r="Q8" s="1" t="s">
        <v>57</v>
      </c>
      <c r="R8" s="1">
        <v>8.0</v>
      </c>
      <c r="S8" s="26" t="b">
        <v>1</v>
      </c>
      <c r="T8" s="27">
        <f t="shared" si="5"/>
        <v>6.4</v>
      </c>
      <c r="U8" s="1">
        <f t="array" ref="U8">IF($S8,$P$25*MAX(0,$R8-1*IF(OR(ISNUMBER(SEARCH($O8,D$5)), ISNUMBER(SEARCH($Q8,D$5)), (ISNUMBER(SEARCH("All",D$5)))),$R8,SUMPRODUCT(--((ISNUMBER(SEARCH("All",D$6:D$104)) + ISNUMBER(SEARCH($O8,D$6:D$104)) + ISNUMBER(SEARCH($Q8,D$6:D$104)) +  ISNUMBER(SEARCH($P8,D$6:D$104))) &gt; 0),$C$6:$C$104))),$S$26*$P$25*MAX(0,$R8-1*IF(OR(ISNUMBER(SEARCH($O8,D$5)), ISNUMBER(SEARCH($Q8,D$5)), (ISNUMBER(SEARCH("All",D$5)))),$R8,SUMPRODUCT(--((ISNUMBER(SEARCH("All",D$6:D$104)) + ISNUMBER(SEARCH($O8,D$6:D$104)) + ISNUMBER(SEARCH($Q8,D$6:D$104)) +  ISNUMBER(SEARCH($P8,D$6:D$104))) &gt; 0),$C$6:$C$104))))</f>
        <v>6.4</v>
      </c>
      <c r="V8" s="1">
        <f t="array" ref="V8">IF($S8,$P$25*MAX(0,$R8-1*IF(OR(ISNUMBER(SEARCH($O8,E$5)), ISNUMBER(SEARCH($Q8,E$5)), (ISNUMBER(SEARCH("All",E$5)))),$R8,SUMPRODUCT(--((ISNUMBER(SEARCH("All",E$6:E$104)) + ISNUMBER(SEARCH($O8,E$6:E$104)) + ISNUMBER(SEARCH($Q8,E$6:E$104)) +  ISNUMBER(SEARCH($P8,E$6:E$104))) &gt; 0),$C$6:$C$104))),$S$26*$P$25*MAX(0,$R8-1*IF(OR(ISNUMBER(SEARCH($O8,E$5)), ISNUMBER(SEARCH($Q8,E$5)), (ISNUMBER(SEARCH("All",E$5)))),$R8,SUMPRODUCT(--((ISNUMBER(SEARCH("All",E$6:E$104)) + ISNUMBER(SEARCH($O8,E$6:E$104)) + ISNUMBER(SEARCH($Q8,E$6:E$104)) +  ISNUMBER(SEARCH($P8,E$6:E$104))) &gt; 0),$C$6:$C$104))))</f>
        <v>6.4</v>
      </c>
      <c r="W8" s="1">
        <f t="array" ref="W8">IF($S8,$P$25*MAX(0,$R8-1*IF(OR(ISNUMBER(SEARCH($O8,F$5)), ISNUMBER(SEARCH($Q8,F$5)), (ISNUMBER(SEARCH("All",F$5)))),$R8,SUMPRODUCT(--((ISNUMBER(SEARCH("All",F$6:F$104)) + ISNUMBER(SEARCH($O8,F$6:F$104)) + ISNUMBER(SEARCH($Q8,F$6:F$104)) +  ISNUMBER(SEARCH($P8,F$6:F$104))) &gt; 0),$C$6:$C$104))),$S$26*$P$25*MAX(0,$R8-1*IF(OR(ISNUMBER(SEARCH($O8,F$5)), ISNUMBER(SEARCH($Q8,F$5)), (ISNUMBER(SEARCH("All",F$5)))),$R8,SUMPRODUCT(--((ISNUMBER(SEARCH("All",F$6:F$104)) + ISNUMBER(SEARCH($O8,F$6:F$104)) + ISNUMBER(SEARCH($Q8,F$6:F$104)) +  ISNUMBER(SEARCH($P8,F$6:F$104))) &gt; 0),$C$6:$C$104))))</f>
        <v>6.4</v>
      </c>
      <c r="X8" s="1">
        <f t="array" ref="X8">IF($S8,$P$25*MAX(0,$R8-1*IF(OR(ISNUMBER(SEARCH($O8,G$5)), ISNUMBER(SEARCH($Q8,G$5)), (ISNUMBER(SEARCH("All",G$5)))),$R8,SUMPRODUCT(--((ISNUMBER(SEARCH("All",G$6:G$104)) + ISNUMBER(SEARCH($O8,G$6:G$104)) + ISNUMBER(SEARCH($Q8,G$6:G$104)) +  ISNUMBER(SEARCH($P8,G$6:G$104))) &gt; 0),$C$6:$C$104))),$S$26*$P$25*MAX(0,$R8-1*IF(OR(ISNUMBER(SEARCH($O8,G$5)), ISNUMBER(SEARCH($Q8,G$5)), (ISNUMBER(SEARCH("All",G$5)))),$R8,SUMPRODUCT(--((ISNUMBER(SEARCH("All",G$6:G$104)) + ISNUMBER(SEARCH($O8,G$6:G$104)) + ISNUMBER(SEARCH($Q8,G$6:G$104)) +  ISNUMBER(SEARCH($P8,G$6:G$104))) &gt; 0),$C$6:$C$104))))</f>
        <v>6.4</v>
      </c>
      <c r="Y8" s="1">
        <f t="array" ref="Y8">IF($S8,$P$25*MAX(0,$R8-1*IF(OR(ISNUMBER(SEARCH($O8,H$5)), ISNUMBER(SEARCH($Q8,H$5)), (ISNUMBER(SEARCH("All",H$5)))),$R8,SUMPRODUCT(--((ISNUMBER(SEARCH("All",H$6:H$104)) + ISNUMBER(SEARCH($O8,H$6:H$104)) + ISNUMBER(SEARCH($Q8,H$6:H$104)) +  ISNUMBER(SEARCH($P8,H$6:H$104))) &gt; 0),$C$6:$C$104))),$S$26*$P$25*MAX(0,$R8-1*IF(OR(ISNUMBER(SEARCH($O8,H$5)), ISNUMBER(SEARCH($Q8,H$5)), (ISNUMBER(SEARCH("All",H$5)))),$R8,SUMPRODUCT(--((ISNUMBER(SEARCH("All",H$6:H$104)) + ISNUMBER(SEARCH($O8,H$6:H$104)) + ISNUMBER(SEARCH($Q8,H$6:H$104)) +  ISNUMBER(SEARCH($P8,H$6:H$104))) &gt; 0),$C$6:$C$104))))</f>
        <v>6.4</v>
      </c>
      <c r="Z8" s="1">
        <f t="array" ref="Z8">IF($S8,$P$25*MAX(0,$R8-1*IF(OR(ISNUMBER(SEARCH($O8,I$5)), ISNUMBER(SEARCH($Q8,I$5)), (ISNUMBER(SEARCH("All",I$5)))),$R8,SUMPRODUCT(--((ISNUMBER(SEARCH("All",I$6:I$104)) + ISNUMBER(SEARCH($O8,I$6:I$104)) + ISNUMBER(SEARCH($Q8,I$6:I$104)) +  ISNUMBER(SEARCH($P8,I$6:I$104))) &gt; 0),$C$6:$C$104))),$S$26*$P$25*MAX(0,$R8-1*IF(OR(ISNUMBER(SEARCH($O8,I$5)), ISNUMBER(SEARCH($Q8,I$5)), (ISNUMBER(SEARCH("All",I$5)))),$R8,SUMPRODUCT(--((ISNUMBER(SEARCH("All",I$6:I$104)) + ISNUMBER(SEARCH($O8,I$6:I$104)) + ISNUMBER(SEARCH($Q8,I$6:I$104)) +  ISNUMBER(SEARCH($P8,I$6:I$104))) &gt; 0),$C$6:$C$104))))</f>
        <v>6.4</v>
      </c>
      <c r="AA8" s="1">
        <f t="array" ref="AA8">IF($S8,$P$25*MAX(0,$R8-1*IF(OR(ISNUMBER(SEARCH($O8,J$5)), ISNUMBER(SEARCH($Q8,J$5)), (ISNUMBER(SEARCH("All",J$5)))),$R8,SUMPRODUCT(--((ISNUMBER(SEARCH("All",J$6:J$104)) + ISNUMBER(SEARCH($O8,J$6:J$104)) + ISNUMBER(SEARCH($Q8,J$6:J$104)) +  ISNUMBER(SEARCH($P8,J$6:J$104))) &gt; 0),$C$6:$C$104))),$S$26*$P$25*MAX(0,$R8-1*IF(OR(ISNUMBER(SEARCH($O8,J$5)), ISNUMBER(SEARCH($Q8,J$5)), (ISNUMBER(SEARCH("All",J$5)))),$R8,SUMPRODUCT(--((ISNUMBER(SEARCH("All",J$6:J$104)) + ISNUMBER(SEARCH($O8,J$6:J$104)) + ISNUMBER(SEARCH($Q8,J$6:J$104)) +  ISNUMBER(SEARCH($P8,J$6:J$104))) &gt; 0),$C$6:$C$104))))</f>
        <v>6.4</v>
      </c>
      <c r="AB8" s="1">
        <f t="array" ref="AB8">IF($S8,$P$25*MAX(0,$R8-1*IF(OR(ISNUMBER(SEARCH($O8,K$5)), ISNUMBER(SEARCH($Q8,K$5)), (ISNUMBER(SEARCH("All",K$5)))),$R8,SUMPRODUCT(--((ISNUMBER(SEARCH("All",K$6:K$104)) + ISNUMBER(SEARCH($O8,K$6:K$104)) + ISNUMBER(SEARCH($Q8,K$6:K$104)) +  ISNUMBER(SEARCH($P8,K$6:K$104))) &gt; 0),$C$6:$C$104))),$S$26*$P$25*MAX(0,$R8-1*IF(OR(ISNUMBER(SEARCH($O8,K$5)), ISNUMBER(SEARCH($Q8,K$5)), (ISNUMBER(SEARCH("All",K$5)))),$R8,SUMPRODUCT(--((ISNUMBER(SEARCH("All",K$6:K$104)) + ISNUMBER(SEARCH($O8,K$6:K$104)) + ISNUMBER(SEARCH($Q8,K$6:K$104)) +  ISNUMBER(SEARCH($P8,K$6:K$104))) &gt; 0),$C$6:$C$104))))</f>
        <v>6.4</v>
      </c>
      <c r="AC8" s="1">
        <f t="array" ref="AC8">IF($S8,$P$25*MAX(0,$R8-1*IF(OR(ISNUMBER(SEARCH($O8,L$5)), ISNUMBER(SEARCH($Q8,L$5)), (ISNUMBER(SEARCH("All",L$5)))),$R8,SUMPRODUCT(--((ISNUMBER(SEARCH("All",L$6:L$104)) + ISNUMBER(SEARCH($O8,L$6:L$104)) + ISNUMBER(SEARCH($Q8,L$6:L$104)) +  ISNUMBER(SEARCH($P8,L$6:L$104))) &gt; 0),$C$6:$C$104))),$S$26*$P$25*MAX(0,$R8-1*IF(OR(ISNUMBER(SEARCH($O8,L$5)), ISNUMBER(SEARCH($Q8,L$5)), (ISNUMBER(SEARCH("All",L$5)))),$R8,SUMPRODUCT(--((ISNUMBER(SEARCH("All",L$6:L$104)) + ISNUMBER(SEARCH($O8,L$6:L$104)) + ISNUMBER(SEARCH($Q8,L$6:L$104)) +  ISNUMBER(SEARCH($P8,L$6:L$104))) &gt; 0),$C$6:$C$104))))</f>
        <v>6.4</v>
      </c>
      <c r="AD8" s="1">
        <f t="array" ref="AD8">IF($S8,$P$25*MAX(0,$R8-1*IF(OR(ISNUMBER(SEARCH($O8,M$5)), ISNUMBER(SEARCH($Q8,M$5)), (ISNUMBER(SEARCH("All",M$5)))),$R8,SUMPRODUCT(--((ISNUMBER(SEARCH("All",M$6:M$104)) + ISNUMBER(SEARCH($O8,M$6:M$104)) + ISNUMBER(SEARCH($Q8,M$6:M$104)) +  ISNUMBER(SEARCH($P8,M$6:M$104))) &gt; 0),$C$6:$C$104))),$S$26*$P$25*MAX(0,$R8-1*IF(OR(ISNUMBER(SEARCH($O8,M$5)), ISNUMBER(SEARCH($Q8,M$5)), (ISNUMBER(SEARCH("All",M$5)))),$R8,SUMPRODUCT(--((ISNUMBER(SEARCH("All",M$6:M$104)) + ISNUMBER(SEARCH($O8,M$6:M$104)) + ISNUMBER(SEARCH($Q8,M$6:M$104)) +  ISNUMBER(SEARCH($P8,M$6:M$104))) &gt; 0),$C$6:$C$104))))</f>
        <v>6.4</v>
      </c>
      <c r="AE8" s="6"/>
      <c r="AF8" s="6">
        <f t="shared" si="6"/>
        <v>64</v>
      </c>
      <c r="AG8" s="6"/>
      <c r="AH8" s="6"/>
      <c r="AI8" s="6"/>
      <c r="AJ8" s="28">
        <f t="shared" si="12"/>
        <v>45132</v>
      </c>
      <c r="AK8" s="26"/>
      <c r="AL8" s="26"/>
      <c r="AM8" s="43"/>
      <c r="AN8" s="44"/>
      <c r="AO8" s="6"/>
      <c r="AP8" s="32">
        <f t="shared" si="7"/>
        <v>0</v>
      </c>
      <c r="AQ8" s="33" t="str">
        <f t="shared" si="8"/>
        <v/>
      </c>
      <c r="AR8" s="34">
        <f t="shared" si="13"/>
        <v>0.28</v>
      </c>
      <c r="AS8" s="35">
        <f t="shared" si="9"/>
        <v>0</v>
      </c>
      <c r="AT8" s="35">
        <f t="shared" si="10"/>
        <v>0</v>
      </c>
      <c r="AU8" s="33" t="str">
        <f t="shared" si="14"/>
        <v/>
      </c>
      <c r="AV8" s="36">
        <f>ROUND(X23,2)</f>
        <v>0.07</v>
      </c>
      <c r="AW8" s="6" t="str">
        <f>X$4</f>
        <v>wt.</v>
      </c>
      <c r="AX8" s="29"/>
      <c r="AY8" s="29"/>
      <c r="AZ8" s="37" t="str">
        <f t="shared" si="11"/>
        <v/>
      </c>
      <c r="BA8" s="38"/>
      <c r="BB8" s="26"/>
      <c r="BO8" s="6"/>
    </row>
    <row r="9">
      <c r="A9" s="7"/>
      <c r="B9" s="40"/>
      <c r="C9" s="6">
        <v>0.5</v>
      </c>
      <c r="D9" s="6"/>
      <c r="E9" s="6"/>
      <c r="F9" s="6"/>
      <c r="G9" s="6"/>
      <c r="H9" s="6"/>
      <c r="I9" s="6"/>
      <c r="J9" s="6"/>
      <c r="K9" s="6"/>
      <c r="L9" s="6"/>
      <c r="M9" s="42"/>
      <c r="N9" s="6"/>
      <c r="P9" s="1" t="s">
        <v>56</v>
      </c>
      <c r="Q9" s="1" t="s">
        <v>57</v>
      </c>
      <c r="R9" s="1">
        <v>7.0</v>
      </c>
      <c r="S9" s="26" t="b">
        <v>1</v>
      </c>
      <c r="T9" s="27">
        <f t="shared" si="5"/>
        <v>5.6</v>
      </c>
      <c r="U9" s="1">
        <f t="array" ref="U9">IF($S9,$P$25*MAX(0,$R9-1*IF(OR(ISNUMBER(SEARCH($O9,D$5)), ISNUMBER(SEARCH($Q9,D$5)), (ISNUMBER(SEARCH("All",D$5)))),$R9,SUMPRODUCT(--((ISNUMBER(SEARCH("All",D$6:D$104)) + ISNUMBER(SEARCH($O9,D$6:D$104)) + ISNUMBER(SEARCH($Q9,D$6:D$104)) +  ISNUMBER(SEARCH($P9,D$6:D$104))) &gt; 0),$C$6:$C$104))),$S$26*$P$25*MAX(0,$R9-1*IF(OR(ISNUMBER(SEARCH($O9,D$5)), ISNUMBER(SEARCH($Q9,D$5)), (ISNUMBER(SEARCH("All",D$5)))),$R9,SUMPRODUCT(--((ISNUMBER(SEARCH("All",D$6:D$104)) + ISNUMBER(SEARCH($O9,D$6:D$104)) + ISNUMBER(SEARCH($Q9,D$6:D$104)) +  ISNUMBER(SEARCH($P9,D$6:D$104))) &gt; 0),$C$6:$C$104))))</f>
        <v>5.6</v>
      </c>
      <c r="V9" s="1">
        <f t="array" ref="V9">IF($S9,$P$25*MAX(0,$R9-1*IF(OR(ISNUMBER(SEARCH($O9,E$5)), ISNUMBER(SEARCH($Q9,E$5)), (ISNUMBER(SEARCH("All",E$5)))),$R9,SUMPRODUCT(--((ISNUMBER(SEARCH("All",E$6:E$104)) + ISNUMBER(SEARCH($O9,E$6:E$104)) + ISNUMBER(SEARCH($Q9,E$6:E$104)) +  ISNUMBER(SEARCH($P9,E$6:E$104))) &gt; 0),$C$6:$C$104))),$S$26*$P$25*MAX(0,$R9-1*IF(OR(ISNUMBER(SEARCH($O9,E$5)), ISNUMBER(SEARCH($Q9,E$5)), (ISNUMBER(SEARCH("All",E$5)))),$R9,SUMPRODUCT(--((ISNUMBER(SEARCH("All",E$6:E$104)) + ISNUMBER(SEARCH($O9,E$6:E$104)) + ISNUMBER(SEARCH($Q9,E$6:E$104)) +  ISNUMBER(SEARCH($P9,E$6:E$104))) &gt; 0),$C$6:$C$104))))</f>
        <v>5.6</v>
      </c>
      <c r="W9" s="1">
        <f t="array" ref="W9">IF($S9,$P$25*MAX(0,$R9-1*IF(OR(ISNUMBER(SEARCH($O9,F$5)), ISNUMBER(SEARCH($Q9,F$5)), (ISNUMBER(SEARCH("All",F$5)))),$R9,SUMPRODUCT(--((ISNUMBER(SEARCH("All",F$6:F$104)) + ISNUMBER(SEARCH($O9,F$6:F$104)) + ISNUMBER(SEARCH($Q9,F$6:F$104)) +  ISNUMBER(SEARCH($P9,F$6:F$104))) &gt; 0),$C$6:$C$104))),$S$26*$P$25*MAX(0,$R9-1*IF(OR(ISNUMBER(SEARCH($O9,F$5)), ISNUMBER(SEARCH($Q9,F$5)), (ISNUMBER(SEARCH("All",F$5)))),$R9,SUMPRODUCT(--((ISNUMBER(SEARCH("All",F$6:F$104)) + ISNUMBER(SEARCH($O9,F$6:F$104)) + ISNUMBER(SEARCH($Q9,F$6:F$104)) +  ISNUMBER(SEARCH($P9,F$6:F$104))) &gt; 0),$C$6:$C$104))))</f>
        <v>5.6</v>
      </c>
      <c r="X9" s="1">
        <f t="array" ref="X9">IF($S9,$P$25*MAX(0,$R9-1*IF(OR(ISNUMBER(SEARCH($O9,G$5)), ISNUMBER(SEARCH($Q9,G$5)), (ISNUMBER(SEARCH("All",G$5)))),$R9,SUMPRODUCT(--((ISNUMBER(SEARCH("All",G$6:G$104)) + ISNUMBER(SEARCH($O9,G$6:G$104)) + ISNUMBER(SEARCH($Q9,G$6:G$104)) +  ISNUMBER(SEARCH($P9,G$6:G$104))) &gt; 0),$C$6:$C$104))),$S$26*$P$25*MAX(0,$R9-1*IF(OR(ISNUMBER(SEARCH($O9,G$5)), ISNUMBER(SEARCH($Q9,G$5)), (ISNUMBER(SEARCH("All",G$5)))),$R9,SUMPRODUCT(--((ISNUMBER(SEARCH("All",G$6:G$104)) + ISNUMBER(SEARCH($O9,G$6:G$104)) + ISNUMBER(SEARCH($Q9,G$6:G$104)) +  ISNUMBER(SEARCH($P9,G$6:G$104))) &gt; 0),$C$6:$C$104))))</f>
        <v>5.6</v>
      </c>
      <c r="Y9" s="1">
        <f t="array" ref="Y9">IF($S9,$P$25*MAX(0,$R9-1*IF(OR(ISNUMBER(SEARCH($O9,H$5)), ISNUMBER(SEARCH($Q9,H$5)), (ISNUMBER(SEARCH("All",H$5)))),$R9,SUMPRODUCT(--((ISNUMBER(SEARCH("All",H$6:H$104)) + ISNUMBER(SEARCH($O9,H$6:H$104)) + ISNUMBER(SEARCH($Q9,H$6:H$104)) +  ISNUMBER(SEARCH($P9,H$6:H$104))) &gt; 0),$C$6:$C$104))),$S$26*$P$25*MAX(0,$R9-1*IF(OR(ISNUMBER(SEARCH($O9,H$5)), ISNUMBER(SEARCH($Q9,H$5)), (ISNUMBER(SEARCH("All",H$5)))),$R9,SUMPRODUCT(--((ISNUMBER(SEARCH("All",H$6:H$104)) + ISNUMBER(SEARCH($O9,H$6:H$104)) + ISNUMBER(SEARCH($Q9,H$6:H$104)) +  ISNUMBER(SEARCH($P9,H$6:H$104))) &gt; 0),$C$6:$C$104))))</f>
        <v>5.6</v>
      </c>
      <c r="Z9" s="1">
        <f t="array" ref="Z9">IF($S9,$P$25*MAX(0,$R9-1*IF(OR(ISNUMBER(SEARCH($O9,I$5)), ISNUMBER(SEARCH($Q9,I$5)), (ISNUMBER(SEARCH("All",I$5)))),$R9,SUMPRODUCT(--((ISNUMBER(SEARCH("All",I$6:I$104)) + ISNUMBER(SEARCH($O9,I$6:I$104)) + ISNUMBER(SEARCH($Q9,I$6:I$104)) +  ISNUMBER(SEARCH($P9,I$6:I$104))) &gt; 0),$C$6:$C$104))),$S$26*$P$25*MAX(0,$R9-1*IF(OR(ISNUMBER(SEARCH($O9,I$5)), ISNUMBER(SEARCH($Q9,I$5)), (ISNUMBER(SEARCH("All",I$5)))),$R9,SUMPRODUCT(--((ISNUMBER(SEARCH("All",I$6:I$104)) + ISNUMBER(SEARCH($O9,I$6:I$104)) + ISNUMBER(SEARCH($Q9,I$6:I$104)) +  ISNUMBER(SEARCH($P9,I$6:I$104))) &gt; 0),$C$6:$C$104))))</f>
        <v>5.6</v>
      </c>
      <c r="AA9" s="1">
        <f t="array" ref="AA9">IF($S9,$P$25*MAX(0,$R9-1*IF(OR(ISNUMBER(SEARCH($O9,J$5)), ISNUMBER(SEARCH($Q9,J$5)), (ISNUMBER(SEARCH("All",J$5)))),$R9,SUMPRODUCT(--((ISNUMBER(SEARCH("All",J$6:J$104)) + ISNUMBER(SEARCH($O9,J$6:J$104)) + ISNUMBER(SEARCH($Q9,J$6:J$104)) +  ISNUMBER(SEARCH($P9,J$6:J$104))) &gt; 0),$C$6:$C$104))),$S$26*$P$25*MAX(0,$R9-1*IF(OR(ISNUMBER(SEARCH($O9,J$5)), ISNUMBER(SEARCH($Q9,J$5)), (ISNUMBER(SEARCH("All",J$5)))),$R9,SUMPRODUCT(--((ISNUMBER(SEARCH("All",J$6:J$104)) + ISNUMBER(SEARCH($O9,J$6:J$104)) + ISNUMBER(SEARCH($Q9,J$6:J$104)) +  ISNUMBER(SEARCH($P9,J$6:J$104))) &gt; 0),$C$6:$C$104))))</f>
        <v>5.6</v>
      </c>
      <c r="AB9" s="1">
        <f t="array" ref="AB9">IF($S9,$P$25*MAX(0,$R9-1*IF(OR(ISNUMBER(SEARCH($O9,K$5)), ISNUMBER(SEARCH($Q9,K$5)), (ISNUMBER(SEARCH("All",K$5)))),$R9,SUMPRODUCT(--((ISNUMBER(SEARCH("All",K$6:K$104)) + ISNUMBER(SEARCH($O9,K$6:K$104)) + ISNUMBER(SEARCH($Q9,K$6:K$104)) +  ISNUMBER(SEARCH($P9,K$6:K$104))) &gt; 0),$C$6:$C$104))),$S$26*$P$25*MAX(0,$R9-1*IF(OR(ISNUMBER(SEARCH($O9,K$5)), ISNUMBER(SEARCH($Q9,K$5)), (ISNUMBER(SEARCH("All",K$5)))),$R9,SUMPRODUCT(--((ISNUMBER(SEARCH("All",K$6:K$104)) + ISNUMBER(SEARCH($O9,K$6:K$104)) + ISNUMBER(SEARCH($Q9,K$6:K$104)) +  ISNUMBER(SEARCH($P9,K$6:K$104))) &gt; 0),$C$6:$C$104))))</f>
        <v>5.6</v>
      </c>
      <c r="AC9" s="1">
        <f t="array" ref="AC9">IF($S9,$P$25*MAX(0,$R9-1*IF(OR(ISNUMBER(SEARCH($O9,L$5)), ISNUMBER(SEARCH($Q9,L$5)), (ISNUMBER(SEARCH("All",L$5)))),$R9,SUMPRODUCT(--((ISNUMBER(SEARCH("All",L$6:L$104)) + ISNUMBER(SEARCH($O9,L$6:L$104)) + ISNUMBER(SEARCH($Q9,L$6:L$104)) +  ISNUMBER(SEARCH($P9,L$6:L$104))) &gt; 0),$C$6:$C$104))),$S$26*$P$25*MAX(0,$R9-1*IF(OR(ISNUMBER(SEARCH($O9,L$5)), ISNUMBER(SEARCH($Q9,L$5)), (ISNUMBER(SEARCH("All",L$5)))),$R9,SUMPRODUCT(--((ISNUMBER(SEARCH("All",L$6:L$104)) + ISNUMBER(SEARCH($O9,L$6:L$104)) + ISNUMBER(SEARCH($Q9,L$6:L$104)) +  ISNUMBER(SEARCH($P9,L$6:L$104))) &gt; 0),$C$6:$C$104))))</f>
        <v>5.6</v>
      </c>
      <c r="AD9" s="1">
        <f t="array" ref="AD9">IF($S9,$P$25*MAX(0,$R9-1*IF(OR(ISNUMBER(SEARCH($O9,M$5)), ISNUMBER(SEARCH($Q9,M$5)), (ISNUMBER(SEARCH("All",M$5)))),$R9,SUMPRODUCT(--((ISNUMBER(SEARCH("All",M$6:M$104)) + ISNUMBER(SEARCH($O9,M$6:M$104)) + ISNUMBER(SEARCH($Q9,M$6:M$104)) +  ISNUMBER(SEARCH($P9,M$6:M$104))) &gt; 0),$C$6:$C$104))),$S$26*$P$25*MAX(0,$R9-1*IF(OR(ISNUMBER(SEARCH($O9,M$5)), ISNUMBER(SEARCH($Q9,M$5)), (ISNUMBER(SEARCH("All",M$5)))),$R9,SUMPRODUCT(--((ISNUMBER(SEARCH("All",M$6:M$104)) + ISNUMBER(SEARCH($O9,M$6:M$104)) + ISNUMBER(SEARCH($Q9,M$6:M$104)) +  ISNUMBER(SEARCH($P9,M$6:M$104))) &gt; 0),$C$6:$C$104))))</f>
        <v>5.6</v>
      </c>
      <c r="AE9" s="6"/>
      <c r="AF9" s="6">
        <f t="shared" si="6"/>
        <v>56</v>
      </c>
      <c r="AG9" s="6"/>
      <c r="AH9" s="6"/>
      <c r="AI9" s="6"/>
      <c r="AJ9" s="28">
        <f t="shared" si="12"/>
        <v>45133</v>
      </c>
      <c r="AK9" s="26"/>
      <c r="AL9" s="26"/>
      <c r="AM9" s="43"/>
      <c r="AN9" s="44"/>
      <c r="AO9" s="6"/>
      <c r="AP9" s="32">
        <f t="shared" si="7"/>
        <v>0</v>
      </c>
      <c r="AQ9" s="33" t="str">
        <f t="shared" si="8"/>
        <v/>
      </c>
      <c r="AR9" s="34">
        <f t="shared" si="13"/>
        <v>0.35</v>
      </c>
      <c r="AS9" s="35">
        <f t="shared" si="9"/>
        <v>0</v>
      </c>
      <c r="AT9" s="35">
        <f t="shared" si="10"/>
        <v>0</v>
      </c>
      <c r="AU9" s="33" t="str">
        <f t="shared" si="14"/>
        <v/>
      </c>
      <c r="AV9" s="36">
        <f>ROUND(Y23,2)</f>
        <v>0.07</v>
      </c>
      <c r="AW9" s="6" t="str">
        <f>Y$4</f>
        <v>śr.</v>
      </c>
      <c r="AX9" s="29"/>
      <c r="AY9" s="29"/>
      <c r="AZ9" s="37" t="str">
        <f t="shared" si="11"/>
        <v/>
      </c>
      <c r="BA9" s="38"/>
      <c r="BB9" s="26"/>
      <c r="BO9" s="6"/>
    </row>
    <row r="10">
      <c r="A10" s="7"/>
      <c r="B10" s="40"/>
      <c r="C10" s="6">
        <v>1.0</v>
      </c>
      <c r="D10" s="6"/>
      <c r="E10" s="6"/>
      <c r="F10" s="6"/>
      <c r="G10" s="6"/>
      <c r="H10" s="6"/>
      <c r="I10" s="6"/>
      <c r="J10" s="6"/>
      <c r="K10" s="6"/>
      <c r="L10" s="6"/>
      <c r="M10" s="42"/>
      <c r="N10" s="6"/>
      <c r="P10" s="1" t="s">
        <v>58</v>
      </c>
      <c r="Q10" s="1" t="s">
        <v>59</v>
      </c>
      <c r="R10" s="1">
        <v>8.0</v>
      </c>
      <c r="S10" s="26" t="b">
        <v>1</v>
      </c>
      <c r="T10" s="27">
        <f t="shared" si="5"/>
        <v>6.4</v>
      </c>
      <c r="U10" s="1">
        <f t="array" ref="U10">IF($S10,$P$25*MAX(0,$R10-1*IF(OR(ISNUMBER(SEARCH($O10,D$5)), ISNUMBER(SEARCH($Q10,D$5)), (ISNUMBER(SEARCH("All",D$5)))),$R10,SUMPRODUCT(--((ISNUMBER(SEARCH("All",D$6:D$104)) + ISNUMBER(SEARCH($O10,D$6:D$104)) + ISNUMBER(SEARCH($Q10,D$6:D$104)) +  ISNUMBER(SEARCH($P10,D$6:D$104))) &gt; 0),$C$6:$C$104))),$S$26*$P$25*MAX(0,$R10-1*IF(OR(ISNUMBER(SEARCH($O10,D$5)), ISNUMBER(SEARCH($Q10,D$5)), (ISNUMBER(SEARCH("All",D$5)))),$R10,SUMPRODUCT(--((ISNUMBER(SEARCH("All",D$6:D$104)) + ISNUMBER(SEARCH($O10,D$6:D$104)) + ISNUMBER(SEARCH($Q10,D$6:D$104)) +  ISNUMBER(SEARCH($P10,D$6:D$104))) &gt; 0),$C$6:$C$104))))</f>
        <v>6.4</v>
      </c>
      <c r="V10" s="1">
        <f t="array" ref="V10">IF($S10,$P$25*MAX(0,$R10-1*IF(OR(ISNUMBER(SEARCH($O10,E$5)), ISNUMBER(SEARCH($Q10,E$5)), (ISNUMBER(SEARCH("All",E$5)))),$R10,SUMPRODUCT(--((ISNUMBER(SEARCH("All",E$6:E$104)) + ISNUMBER(SEARCH($O10,E$6:E$104)) + ISNUMBER(SEARCH($Q10,E$6:E$104)) +  ISNUMBER(SEARCH($P10,E$6:E$104))) &gt; 0),$C$6:$C$104))),$S$26*$P$25*MAX(0,$R10-1*IF(OR(ISNUMBER(SEARCH($O10,E$5)), ISNUMBER(SEARCH($Q10,E$5)), (ISNUMBER(SEARCH("All",E$5)))),$R10,SUMPRODUCT(--((ISNUMBER(SEARCH("All",E$6:E$104)) + ISNUMBER(SEARCH($O10,E$6:E$104)) + ISNUMBER(SEARCH($Q10,E$6:E$104)) +  ISNUMBER(SEARCH($P10,E$6:E$104))) &gt; 0),$C$6:$C$104))))</f>
        <v>6.4</v>
      </c>
      <c r="W10" s="1">
        <f t="array" ref="W10">IF($S10,$P$25*MAX(0,$R10-1*IF(OR(ISNUMBER(SEARCH($O10,F$5)), ISNUMBER(SEARCH($Q10,F$5)), (ISNUMBER(SEARCH("All",F$5)))),$R10,SUMPRODUCT(--((ISNUMBER(SEARCH("All",F$6:F$104)) + ISNUMBER(SEARCH($O10,F$6:F$104)) + ISNUMBER(SEARCH($Q10,F$6:F$104)) +  ISNUMBER(SEARCH($P10,F$6:F$104))) &gt; 0),$C$6:$C$104))),$S$26*$P$25*MAX(0,$R10-1*IF(OR(ISNUMBER(SEARCH($O10,F$5)), ISNUMBER(SEARCH($Q10,F$5)), (ISNUMBER(SEARCH("All",F$5)))),$R10,SUMPRODUCT(--((ISNUMBER(SEARCH("All",F$6:F$104)) + ISNUMBER(SEARCH($O10,F$6:F$104)) + ISNUMBER(SEARCH($Q10,F$6:F$104)) +  ISNUMBER(SEARCH($P10,F$6:F$104))) &gt; 0),$C$6:$C$104))))</f>
        <v>6.4</v>
      </c>
      <c r="X10" s="1">
        <f t="array" ref="X10">IF($S10,$P$25*MAX(0,$R10-1*IF(OR(ISNUMBER(SEARCH($O10,G$5)), ISNUMBER(SEARCH($Q10,G$5)), (ISNUMBER(SEARCH("All",G$5)))),$R10,SUMPRODUCT(--((ISNUMBER(SEARCH("All",G$6:G$104)) + ISNUMBER(SEARCH($O10,G$6:G$104)) + ISNUMBER(SEARCH($Q10,G$6:G$104)) +  ISNUMBER(SEARCH($P10,G$6:G$104))) &gt; 0),$C$6:$C$104))),$S$26*$P$25*MAX(0,$R10-1*IF(OR(ISNUMBER(SEARCH($O10,G$5)), ISNUMBER(SEARCH($Q10,G$5)), (ISNUMBER(SEARCH("All",G$5)))),$R10,SUMPRODUCT(--((ISNUMBER(SEARCH("All",G$6:G$104)) + ISNUMBER(SEARCH($O10,G$6:G$104)) + ISNUMBER(SEARCH($Q10,G$6:G$104)) +  ISNUMBER(SEARCH($P10,G$6:G$104))) &gt; 0),$C$6:$C$104))))</f>
        <v>6.4</v>
      </c>
      <c r="Y10" s="1">
        <f t="array" ref="Y10">IF($S10,$P$25*MAX(0,$R10-1*IF(OR(ISNUMBER(SEARCH($O10,H$5)), ISNUMBER(SEARCH($Q10,H$5)), (ISNUMBER(SEARCH("All",H$5)))),$R10,SUMPRODUCT(--((ISNUMBER(SEARCH("All",H$6:H$104)) + ISNUMBER(SEARCH($O10,H$6:H$104)) + ISNUMBER(SEARCH($Q10,H$6:H$104)) +  ISNUMBER(SEARCH($P10,H$6:H$104))) &gt; 0),$C$6:$C$104))),$S$26*$P$25*MAX(0,$R10-1*IF(OR(ISNUMBER(SEARCH($O10,H$5)), ISNUMBER(SEARCH($Q10,H$5)), (ISNUMBER(SEARCH("All",H$5)))),$R10,SUMPRODUCT(--((ISNUMBER(SEARCH("All",H$6:H$104)) + ISNUMBER(SEARCH($O10,H$6:H$104)) + ISNUMBER(SEARCH($Q10,H$6:H$104)) +  ISNUMBER(SEARCH($P10,H$6:H$104))) &gt; 0),$C$6:$C$104))))</f>
        <v>6.4</v>
      </c>
      <c r="Z10" s="1">
        <f t="array" ref="Z10">IF($S10,$P$25*MAX(0,$R10-1*IF(OR(ISNUMBER(SEARCH($O10,I$5)), ISNUMBER(SEARCH($Q10,I$5)), (ISNUMBER(SEARCH("All",I$5)))),$R10,SUMPRODUCT(--((ISNUMBER(SEARCH("All",I$6:I$104)) + ISNUMBER(SEARCH($O10,I$6:I$104)) + ISNUMBER(SEARCH($Q10,I$6:I$104)) +  ISNUMBER(SEARCH($P10,I$6:I$104))) &gt; 0),$C$6:$C$104))),$S$26*$P$25*MAX(0,$R10-1*IF(OR(ISNUMBER(SEARCH($O10,I$5)), ISNUMBER(SEARCH($Q10,I$5)), (ISNUMBER(SEARCH("All",I$5)))),$R10,SUMPRODUCT(--((ISNUMBER(SEARCH("All",I$6:I$104)) + ISNUMBER(SEARCH($O10,I$6:I$104)) + ISNUMBER(SEARCH($Q10,I$6:I$104)) +  ISNUMBER(SEARCH($P10,I$6:I$104))) &gt; 0),$C$6:$C$104))))</f>
        <v>6.4</v>
      </c>
      <c r="AA10" s="1">
        <f t="array" ref="AA10">IF($S10,$P$25*MAX(0,$R10-1*IF(OR(ISNUMBER(SEARCH($O10,J$5)), ISNUMBER(SEARCH($Q10,J$5)), (ISNUMBER(SEARCH("All",J$5)))),$R10,SUMPRODUCT(--((ISNUMBER(SEARCH("All",J$6:J$104)) + ISNUMBER(SEARCH($O10,J$6:J$104)) + ISNUMBER(SEARCH($Q10,J$6:J$104)) +  ISNUMBER(SEARCH($P10,J$6:J$104))) &gt; 0),$C$6:$C$104))),$S$26*$P$25*MAX(0,$R10-1*IF(OR(ISNUMBER(SEARCH($O10,J$5)), ISNUMBER(SEARCH($Q10,J$5)), (ISNUMBER(SEARCH("All",J$5)))),$R10,SUMPRODUCT(--((ISNUMBER(SEARCH("All",J$6:J$104)) + ISNUMBER(SEARCH($O10,J$6:J$104)) + ISNUMBER(SEARCH($Q10,J$6:J$104)) +  ISNUMBER(SEARCH($P10,J$6:J$104))) &gt; 0),$C$6:$C$104))))</f>
        <v>6.4</v>
      </c>
      <c r="AB10" s="1">
        <f t="array" ref="AB10">IF($S10,$P$25*MAX(0,$R10-1*IF(OR(ISNUMBER(SEARCH($O10,K$5)), ISNUMBER(SEARCH($Q10,K$5)), (ISNUMBER(SEARCH("All",K$5)))),$R10,SUMPRODUCT(--((ISNUMBER(SEARCH("All",K$6:K$104)) + ISNUMBER(SEARCH($O10,K$6:K$104)) + ISNUMBER(SEARCH($Q10,K$6:K$104)) +  ISNUMBER(SEARCH($P10,K$6:K$104))) &gt; 0),$C$6:$C$104))),$S$26*$P$25*MAX(0,$R10-1*IF(OR(ISNUMBER(SEARCH($O10,K$5)), ISNUMBER(SEARCH($Q10,K$5)), (ISNUMBER(SEARCH("All",K$5)))),$R10,SUMPRODUCT(--((ISNUMBER(SEARCH("All",K$6:K$104)) + ISNUMBER(SEARCH($O10,K$6:K$104)) + ISNUMBER(SEARCH($Q10,K$6:K$104)) +  ISNUMBER(SEARCH($P10,K$6:K$104))) &gt; 0),$C$6:$C$104))))</f>
        <v>6.4</v>
      </c>
      <c r="AC10" s="1">
        <f t="array" ref="AC10">IF($S10,$P$25*MAX(0,$R10-1*IF(OR(ISNUMBER(SEARCH($O10,L$5)), ISNUMBER(SEARCH($Q10,L$5)), (ISNUMBER(SEARCH("All",L$5)))),$R10,SUMPRODUCT(--((ISNUMBER(SEARCH("All",L$6:L$104)) + ISNUMBER(SEARCH($O10,L$6:L$104)) + ISNUMBER(SEARCH($Q10,L$6:L$104)) +  ISNUMBER(SEARCH($P10,L$6:L$104))) &gt; 0),$C$6:$C$104))),$S$26*$P$25*MAX(0,$R10-1*IF(OR(ISNUMBER(SEARCH($O10,L$5)), ISNUMBER(SEARCH($Q10,L$5)), (ISNUMBER(SEARCH("All",L$5)))),$R10,SUMPRODUCT(--((ISNUMBER(SEARCH("All",L$6:L$104)) + ISNUMBER(SEARCH($O10,L$6:L$104)) + ISNUMBER(SEARCH($Q10,L$6:L$104)) +  ISNUMBER(SEARCH($P10,L$6:L$104))) &gt; 0),$C$6:$C$104))))</f>
        <v>6.4</v>
      </c>
      <c r="AD10" s="1">
        <f t="array" ref="AD10">IF($S10,$P$25*MAX(0,$R10-1*IF(OR(ISNUMBER(SEARCH($O10,M$5)), ISNUMBER(SEARCH($Q10,M$5)), (ISNUMBER(SEARCH("All",M$5)))),$R10,SUMPRODUCT(--((ISNUMBER(SEARCH("All",M$6:M$104)) + ISNUMBER(SEARCH($O10,M$6:M$104)) + ISNUMBER(SEARCH($Q10,M$6:M$104)) +  ISNUMBER(SEARCH($P10,M$6:M$104))) &gt; 0),$C$6:$C$104))),$S$26*$P$25*MAX(0,$R10-1*IF(OR(ISNUMBER(SEARCH($O10,M$5)), ISNUMBER(SEARCH($Q10,M$5)), (ISNUMBER(SEARCH("All",M$5)))),$R10,SUMPRODUCT(--((ISNUMBER(SEARCH("All",M$6:M$104)) + ISNUMBER(SEARCH($O10,M$6:M$104)) + ISNUMBER(SEARCH($Q10,M$6:M$104)) +  ISNUMBER(SEARCH($P10,M$6:M$104))) &gt; 0),$C$6:$C$104))))</f>
        <v>6.4</v>
      </c>
      <c r="AE10" s="6"/>
      <c r="AF10" s="6">
        <f t="shared" si="6"/>
        <v>64</v>
      </c>
      <c r="AG10" s="6"/>
      <c r="AH10" s="6"/>
      <c r="AI10" s="6"/>
      <c r="AJ10" s="28">
        <f t="shared" si="12"/>
        <v>45134</v>
      </c>
      <c r="AK10" s="26"/>
      <c r="AL10" s="26"/>
      <c r="AM10" s="43"/>
      <c r="AN10" s="44"/>
      <c r="AO10" s="6"/>
      <c r="AP10" s="32">
        <f t="shared" si="7"/>
        <v>0</v>
      </c>
      <c r="AQ10" s="33" t="str">
        <f t="shared" si="8"/>
        <v/>
      </c>
      <c r="AR10" s="34">
        <f t="shared" si="13"/>
        <v>0.42</v>
      </c>
      <c r="AS10" s="35">
        <f t="shared" si="9"/>
        <v>0</v>
      </c>
      <c r="AT10" s="35">
        <f t="shared" si="10"/>
        <v>0</v>
      </c>
      <c r="AU10" s="33" t="str">
        <f t="shared" si="14"/>
        <v/>
      </c>
      <c r="AV10" s="36">
        <f>ROUND(Z23,2)</f>
        <v>0.07</v>
      </c>
      <c r="AW10" s="6" t="str">
        <f>Z$4</f>
        <v>czw.</v>
      </c>
      <c r="AX10" s="29"/>
      <c r="AY10" s="29"/>
      <c r="AZ10" s="37" t="str">
        <f t="shared" si="11"/>
        <v/>
      </c>
      <c r="BA10" s="38"/>
      <c r="BB10" s="26"/>
      <c r="BO10" s="6"/>
    </row>
    <row r="11">
      <c r="A11" s="7"/>
      <c r="B11" s="40"/>
      <c r="C11" s="6">
        <v>1.5</v>
      </c>
      <c r="D11" s="6"/>
      <c r="E11" s="6"/>
      <c r="F11" s="6"/>
      <c r="G11" s="6"/>
      <c r="H11" s="6"/>
      <c r="I11" s="6"/>
      <c r="J11" s="6"/>
      <c r="K11" s="6"/>
      <c r="L11" s="6"/>
      <c r="M11" s="42"/>
      <c r="N11" s="6"/>
      <c r="P11" s="1" t="s">
        <v>58</v>
      </c>
      <c r="Q11" s="1" t="s">
        <v>57</v>
      </c>
      <c r="R11" s="1">
        <v>8.0</v>
      </c>
      <c r="S11" s="26" t="b">
        <v>1</v>
      </c>
      <c r="T11" s="27">
        <f t="shared" si="5"/>
        <v>6.4</v>
      </c>
      <c r="U11" s="1">
        <f t="array" ref="U11">IF($S11,$P$25*MAX(0,$R11-1*IF(OR(ISNUMBER(SEARCH($O11,D$5)), ISNUMBER(SEARCH($Q11,D$5)), (ISNUMBER(SEARCH("All",D$5)))),$R11,SUMPRODUCT(--((ISNUMBER(SEARCH("All",D$6:D$104)) + ISNUMBER(SEARCH($O11,D$6:D$104)) + ISNUMBER(SEARCH($Q11,D$6:D$104)) +  ISNUMBER(SEARCH($P11,D$6:D$104))) &gt; 0),$C$6:$C$104))),$S$26*$P$25*MAX(0,$R11-1*IF(OR(ISNUMBER(SEARCH($O11,D$5)), ISNUMBER(SEARCH($Q11,D$5)), (ISNUMBER(SEARCH("All",D$5)))),$R11,SUMPRODUCT(--((ISNUMBER(SEARCH("All",D$6:D$104)) + ISNUMBER(SEARCH($O11,D$6:D$104)) + ISNUMBER(SEARCH($Q11,D$6:D$104)) +  ISNUMBER(SEARCH($P11,D$6:D$104))) &gt; 0),$C$6:$C$104))))</f>
        <v>6.4</v>
      </c>
      <c r="V11" s="1">
        <f t="array" ref="V11">IF($S11,$P$25*MAX(0,$R11-1*IF(OR(ISNUMBER(SEARCH($O11,E$5)), ISNUMBER(SEARCH($Q11,E$5)), (ISNUMBER(SEARCH("All",E$5)))),$R11,SUMPRODUCT(--((ISNUMBER(SEARCH("All",E$6:E$104)) + ISNUMBER(SEARCH($O11,E$6:E$104)) + ISNUMBER(SEARCH($Q11,E$6:E$104)) +  ISNUMBER(SEARCH($P11,E$6:E$104))) &gt; 0),$C$6:$C$104))),$S$26*$P$25*MAX(0,$R11-1*IF(OR(ISNUMBER(SEARCH($O11,E$5)), ISNUMBER(SEARCH($Q11,E$5)), (ISNUMBER(SEARCH("All",E$5)))),$R11,SUMPRODUCT(--((ISNUMBER(SEARCH("All",E$6:E$104)) + ISNUMBER(SEARCH($O11,E$6:E$104)) + ISNUMBER(SEARCH($Q11,E$6:E$104)) +  ISNUMBER(SEARCH($P11,E$6:E$104))) &gt; 0),$C$6:$C$104))))</f>
        <v>6.4</v>
      </c>
      <c r="W11" s="1">
        <f t="array" ref="W11">IF($S11,$P$25*MAX(0,$R11-1*IF(OR(ISNUMBER(SEARCH($O11,F$5)), ISNUMBER(SEARCH($Q11,F$5)), (ISNUMBER(SEARCH("All",F$5)))),$R11,SUMPRODUCT(--((ISNUMBER(SEARCH("All",F$6:F$104)) + ISNUMBER(SEARCH($O11,F$6:F$104)) + ISNUMBER(SEARCH($Q11,F$6:F$104)) +  ISNUMBER(SEARCH($P11,F$6:F$104))) &gt; 0),$C$6:$C$104))),$S$26*$P$25*MAX(0,$R11-1*IF(OR(ISNUMBER(SEARCH($O11,F$5)), ISNUMBER(SEARCH($Q11,F$5)), (ISNUMBER(SEARCH("All",F$5)))),$R11,SUMPRODUCT(--((ISNUMBER(SEARCH("All",F$6:F$104)) + ISNUMBER(SEARCH($O11,F$6:F$104)) + ISNUMBER(SEARCH($Q11,F$6:F$104)) +  ISNUMBER(SEARCH($P11,F$6:F$104))) &gt; 0),$C$6:$C$104))))</f>
        <v>6.4</v>
      </c>
      <c r="X11" s="1">
        <f t="array" ref="X11">IF($S11,$P$25*MAX(0,$R11-1*IF(OR(ISNUMBER(SEARCH($O11,G$5)), ISNUMBER(SEARCH($Q11,G$5)), (ISNUMBER(SEARCH("All",G$5)))),$R11,SUMPRODUCT(--((ISNUMBER(SEARCH("All",G$6:G$104)) + ISNUMBER(SEARCH($O11,G$6:G$104)) + ISNUMBER(SEARCH($Q11,G$6:G$104)) +  ISNUMBER(SEARCH($P11,G$6:G$104))) &gt; 0),$C$6:$C$104))),$S$26*$P$25*MAX(0,$R11-1*IF(OR(ISNUMBER(SEARCH($O11,G$5)), ISNUMBER(SEARCH($Q11,G$5)), (ISNUMBER(SEARCH("All",G$5)))),$R11,SUMPRODUCT(--((ISNUMBER(SEARCH("All",G$6:G$104)) + ISNUMBER(SEARCH($O11,G$6:G$104)) + ISNUMBER(SEARCH($Q11,G$6:G$104)) +  ISNUMBER(SEARCH($P11,G$6:G$104))) &gt; 0),$C$6:$C$104))))</f>
        <v>6.4</v>
      </c>
      <c r="Y11" s="1">
        <f t="array" ref="Y11">IF($S11,$P$25*MAX(0,$R11-1*IF(OR(ISNUMBER(SEARCH($O11,H$5)), ISNUMBER(SEARCH($Q11,H$5)), (ISNUMBER(SEARCH("All",H$5)))),$R11,SUMPRODUCT(--((ISNUMBER(SEARCH("All",H$6:H$104)) + ISNUMBER(SEARCH($O11,H$6:H$104)) + ISNUMBER(SEARCH($Q11,H$6:H$104)) +  ISNUMBER(SEARCH($P11,H$6:H$104))) &gt; 0),$C$6:$C$104))),$S$26*$P$25*MAX(0,$R11-1*IF(OR(ISNUMBER(SEARCH($O11,H$5)), ISNUMBER(SEARCH($Q11,H$5)), (ISNUMBER(SEARCH("All",H$5)))),$R11,SUMPRODUCT(--((ISNUMBER(SEARCH("All",H$6:H$104)) + ISNUMBER(SEARCH($O11,H$6:H$104)) + ISNUMBER(SEARCH($Q11,H$6:H$104)) +  ISNUMBER(SEARCH($P11,H$6:H$104))) &gt; 0),$C$6:$C$104))))</f>
        <v>6.4</v>
      </c>
      <c r="Z11" s="1">
        <f t="array" ref="Z11">IF($S11,$P$25*MAX(0,$R11-1*IF(OR(ISNUMBER(SEARCH($O11,I$5)), ISNUMBER(SEARCH($Q11,I$5)), (ISNUMBER(SEARCH("All",I$5)))),$R11,SUMPRODUCT(--((ISNUMBER(SEARCH("All",I$6:I$104)) + ISNUMBER(SEARCH($O11,I$6:I$104)) + ISNUMBER(SEARCH($Q11,I$6:I$104)) +  ISNUMBER(SEARCH($P11,I$6:I$104))) &gt; 0),$C$6:$C$104))),$S$26*$P$25*MAX(0,$R11-1*IF(OR(ISNUMBER(SEARCH($O11,I$5)), ISNUMBER(SEARCH($Q11,I$5)), (ISNUMBER(SEARCH("All",I$5)))),$R11,SUMPRODUCT(--((ISNUMBER(SEARCH("All",I$6:I$104)) + ISNUMBER(SEARCH($O11,I$6:I$104)) + ISNUMBER(SEARCH($Q11,I$6:I$104)) +  ISNUMBER(SEARCH($P11,I$6:I$104))) &gt; 0),$C$6:$C$104))))</f>
        <v>6.4</v>
      </c>
      <c r="AA11" s="1">
        <f t="array" ref="AA11">IF($S11,$P$25*MAX(0,$R11-1*IF(OR(ISNUMBER(SEARCH($O11,J$5)), ISNUMBER(SEARCH($Q11,J$5)), (ISNUMBER(SEARCH("All",J$5)))),$R11,SUMPRODUCT(--((ISNUMBER(SEARCH("All",J$6:J$104)) + ISNUMBER(SEARCH($O11,J$6:J$104)) + ISNUMBER(SEARCH($Q11,J$6:J$104)) +  ISNUMBER(SEARCH($P11,J$6:J$104))) &gt; 0),$C$6:$C$104))),$S$26*$P$25*MAX(0,$R11-1*IF(OR(ISNUMBER(SEARCH($O11,J$5)), ISNUMBER(SEARCH($Q11,J$5)), (ISNUMBER(SEARCH("All",J$5)))),$R11,SUMPRODUCT(--((ISNUMBER(SEARCH("All",J$6:J$104)) + ISNUMBER(SEARCH($O11,J$6:J$104)) + ISNUMBER(SEARCH($Q11,J$6:J$104)) +  ISNUMBER(SEARCH($P11,J$6:J$104))) &gt; 0),$C$6:$C$104))))</f>
        <v>6.4</v>
      </c>
      <c r="AB11" s="1">
        <f t="array" ref="AB11">IF($S11,$P$25*MAX(0,$R11-1*IF(OR(ISNUMBER(SEARCH($O11,K$5)), ISNUMBER(SEARCH($Q11,K$5)), (ISNUMBER(SEARCH("All",K$5)))),$R11,SUMPRODUCT(--((ISNUMBER(SEARCH("All",K$6:K$104)) + ISNUMBER(SEARCH($O11,K$6:K$104)) + ISNUMBER(SEARCH($Q11,K$6:K$104)) +  ISNUMBER(SEARCH($P11,K$6:K$104))) &gt; 0),$C$6:$C$104))),$S$26*$P$25*MAX(0,$R11-1*IF(OR(ISNUMBER(SEARCH($O11,K$5)), ISNUMBER(SEARCH($Q11,K$5)), (ISNUMBER(SEARCH("All",K$5)))),$R11,SUMPRODUCT(--((ISNUMBER(SEARCH("All",K$6:K$104)) + ISNUMBER(SEARCH($O11,K$6:K$104)) + ISNUMBER(SEARCH($Q11,K$6:K$104)) +  ISNUMBER(SEARCH($P11,K$6:K$104))) &gt; 0),$C$6:$C$104))))</f>
        <v>6.4</v>
      </c>
      <c r="AC11" s="1">
        <f t="array" ref="AC11">IF($S11,$P$25*MAX(0,$R11-1*IF(OR(ISNUMBER(SEARCH($O11,L$5)), ISNUMBER(SEARCH($Q11,L$5)), (ISNUMBER(SEARCH("All",L$5)))),$R11,SUMPRODUCT(--((ISNUMBER(SEARCH("All",L$6:L$104)) + ISNUMBER(SEARCH($O11,L$6:L$104)) + ISNUMBER(SEARCH($Q11,L$6:L$104)) +  ISNUMBER(SEARCH($P11,L$6:L$104))) &gt; 0),$C$6:$C$104))),$S$26*$P$25*MAX(0,$R11-1*IF(OR(ISNUMBER(SEARCH($O11,L$5)), ISNUMBER(SEARCH($Q11,L$5)), (ISNUMBER(SEARCH("All",L$5)))),$R11,SUMPRODUCT(--((ISNUMBER(SEARCH("All",L$6:L$104)) + ISNUMBER(SEARCH($O11,L$6:L$104)) + ISNUMBER(SEARCH($Q11,L$6:L$104)) +  ISNUMBER(SEARCH($P11,L$6:L$104))) &gt; 0),$C$6:$C$104))))</f>
        <v>6.4</v>
      </c>
      <c r="AD11" s="1">
        <f t="array" ref="AD11">IF($S11,$P$25*MAX(0,$R11-1*IF(OR(ISNUMBER(SEARCH($O11,M$5)), ISNUMBER(SEARCH($Q11,M$5)), (ISNUMBER(SEARCH("All",M$5)))),$R11,SUMPRODUCT(--((ISNUMBER(SEARCH("All",M$6:M$104)) + ISNUMBER(SEARCH($O11,M$6:M$104)) + ISNUMBER(SEARCH($Q11,M$6:M$104)) +  ISNUMBER(SEARCH($P11,M$6:M$104))) &gt; 0),$C$6:$C$104))),$S$26*$P$25*MAX(0,$R11-1*IF(OR(ISNUMBER(SEARCH($O11,M$5)), ISNUMBER(SEARCH($Q11,M$5)), (ISNUMBER(SEARCH("All",M$5)))),$R11,SUMPRODUCT(--((ISNUMBER(SEARCH("All",M$6:M$104)) + ISNUMBER(SEARCH($O11,M$6:M$104)) + ISNUMBER(SEARCH($Q11,M$6:M$104)) +  ISNUMBER(SEARCH($P11,M$6:M$104))) &gt; 0),$C$6:$C$104))))</f>
        <v>6.4</v>
      </c>
      <c r="AE11" s="6"/>
      <c r="AF11" s="6">
        <f t="shared" si="6"/>
        <v>64</v>
      </c>
      <c r="AG11" s="6"/>
      <c r="AH11" s="6"/>
      <c r="AI11" s="6"/>
      <c r="AJ11" s="28">
        <f t="shared" si="12"/>
        <v>45135</v>
      </c>
      <c r="AK11" s="26"/>
      <c r="AL11" s="26"/>
      <c r="AM11" s="43"/>
      <c r="AN11" s="44"/>
      <c r="AO11" s="6"/>
      <c r="AP11" s="32">
        <f t="shared" si="7"/>
        <v>0</v>
      </c>
      <c r="AQ11" s="33" t="str">
        <f t="shared" si="8"/>
        <v/>
      </c>
      <c r="AR11" s="34">
        <f t="shared" si="13"/>
        <v>0.49</v>
      </c>
      <c r="AS11" s="35">
        <f t="shared" si="9"/>
        <v>0</v>
      </c>
      <c r="AT11" s="35">
        <f t="shared" si="10"/>
        <v>0</v>
      </c>
      <c r="AU11" s="33" t="str">
        <f t="shared" si="14"/>
        <v/>
      </c>
      <c r="AV11" s="36">
        <f>ROUND(AA23,2)</f>
        <v>0.07</v>
      </c>
      <c r="AW11" s="6" t="str">
        <f>AA$4</f>
        <v>pt.</v>
      </c>
      <c r="AX11" s="29"/>
      <c r="AY11" s="29"/>
      <c r="AZ11" s="37" t="str">
        <f t="shared" si="11"/>
        <v/>
      </c>
      <c r="BA11" s="38"/>
      <c r="BB11" s="26"/>
      <c r="BO11" s="6"/>
    </row>
    <row r="12">
      <c r="A12" s="7"/>
      <c r="B12" s="40"/>
      <c r="C12" s="6">
        <v>1.0</v>
      </c>
      <c r="D12" s="6"/>
      <c r="E12" s="6"/>
      <c r="F12" s="6"/>
      <c r="G12" s="6"/>
      <c r="H12" s="6"/>
      <c r="I12" s="6"/>
      <c r="J12" s="6"/>
      <c r="K12" s="6"/>
      <c r="L12" s="6"/>
      <c r="M12" s="42"/>
      <c r="N12" s="6"/>
      <c r="P12" s="1" t="s">
        <v>58</v>
      </c>
      <c r="Q12" s="1" t="s">
        <v>60</v>
      </c>
      <c r="R12" s="1">
        <v>8.0</v>
      </c>
      <c r="S12" s="26" t="b">
        <v>1</v>
      </c>
      <c r="T12" s="27">
        <f t="shared" si="5"/>
        <v>6.4</v>
      </c>
      <c r="U12" s="1">
        <f t="array" ref="U12">IF($S12,$P$25*MAX(0,$R12-1*IF(OR(ISNUMBER(SEARCH($O12,D$5)), ISNUMBER(SEARCH($Q12,D$5)), (ISNUMBER(SEARCH("All",D$5)))),$R12,SUMPRODUCT(--((ISNUMBER(SEARCH("All",D$6:D$104)) + ISNUMBER(SEARCH($O12,D$6:D$104)) + ISNUMBER(SEARCH($Q12,D$6:D$104)) +  ISNUMBER(SEARCH($P12,D$6:D$104))) &gt; 0),$C$6:$C$104))),$S$26*$P$25*MAX(0,$R12-1*IF(OR(ISNUMBER(SEARCH($O12,D$5)), ISNUMBER(SEARCH($Q12,D$5)), (ISNUMBER(SEARCH("All",D$5)))),$R12,SUMPRODUCT(--((ISNUMBER(SEARCH("All",D$6:D$104)) + ISNUMBER(SEARCH($O12,D$6:D$104)) + ISNUMBER(SEARCH($Q12,D$6:D$104)) +  ISNUMBER(SEARCH($P12,D$6:D$104))) &gt; 0),$C$6:$C$104))))</f>
        <v>6.4</v>
      </c>
      <c r="V12" s="1">
        <f t="array" ref="V12">IF($S12,$P$25*MAX(0,$R12-1*IF(OR(ISNUMBER(SEARCH($O12,E$5)), ISNUMBER(SEARCH($Q12,E$5)), (ISNUMBER(SEARCH("All",E$5)))),$R12,SUMPRODUCT(--((ISNUMBER(SEARCH("All",E$6:E$104)) + ISNUMBER(SEARCH($O12,E$6:E$104)) + ISNUMBER(SEARCH($Q12,E$6:E$104)) +  ISNUMBER(SEARCH($P12,E$6:E$104))) &gt; 0),$C$6:$C$104))),$S$26*$P$25*MAX(0,$R12-1*IF(OR(ISNUMBER(SEARCH($O12,E$5)), ISNUMBER(SEARCH($Q12,E$5)), (ISNUMBER(SEARCH("All",E$5)))),$R12,SUMPRODUCT(--((ISNUMBER(SEARCH("All",E$6:E$104)) + ISNUMBER(SEARCH($O12,E$6:E$104)) + ISNUMBER(SEARCH($Q12,E$6:E$104)) +  ISNUMBER(SEARCH($P12,E$6:E$104))) &gt; 0),$C$6:$C$104))))</f>
        <v>6.4</v>
      </c>
      <c r="W12" s="1">
        <f t="array" ref="W12">IF($S12,$P$25*MAX(0,$R12-1*IF(OR(ISNUMBER(SEARCH($O12,F$5)), ISNUMBER(SEARCH($Q12,F$5)), (ISNUMBER(SEARCH("All",F$5)))),$R12,SUMPRODUCT(--((ISNUMBER(SEARCH("All",F$6:F$104)) + ISNUMBER(SEARCH($O12,F$6:F$104)) + ISNUMBER(SEARCH($Q12,F$6:F$104)) +  ISNUMBER(SEARCH($P12,F$6:F$104))) &gt; 0),$C$6:$C$104))),$S$26*$P$25*MAX(0,$R12-1*IF(OR(ISNUMBER(SEARCH($O12,F$5)), ISNUMBER(SEARCH($Q12,F$5)), (ISNUMBER(SEARCH("All",F$5)))),$R12,SUMPRODUCT(--((ISNUMBER(SEARCH("All",F$6:F$104)) + ISNUMBER(SEARCH($O12,F$6:F$104)) + ISNUMBER(SEARCH($Q12,F$6:F$104)) +  ISNUMBER(SEARCH($P12,F$6:F$104))) &gt; 0),$C$6:$C$104))))</f>
        <v>6.4</v>
      </c>
      <c r="X12" s="1">
        <f t="array" ref="X12">IF($S12,$P$25*MAX(0,$R12-1*IF(OR(ISNUMBER(SEARCH($O12,G$5)), ISNUMBER(SEARCH($Q12,G$5)), (ISNUMBER(SEARCH("All",G$5)))),$R12,SUMPRODUCT(--((ISNUMBER(SEARCH("All",G$6:G$104)) + ISNUMBER(SEARCH($O12,G$6:G$104)) + ISNUMBER(SEARCH($Q12,G$6:G$104)) +  ISNUMBER(SEARCH($P12,G$6:G$104))) &gt; 0),$C$6:$C$104))),$S$26*$P$25*MAX(0,$R12-1*IF(OR(ISNUMBER(SEARCH($O12,G$5)), ISNUMBER(SEARCH($Q12,G$5)), (ISNUMBER(SEARCH("All",G$5)))),$R12,SUMPRODUCT(--((ISNUMBER(SEARCH("All",G$6:G$104)) + ISNUMBER(SEARCH($O12,G$6:G$104)) + ISNUMBER(SEARCH($Q12,G$6:G$104)) +  ISNUMBER(SEARCH($P12,G$6:G$104))) &gt; 0),$C$6:$C$104))))</f>
        <v>6.4</v>
      </c>
      <c r="Y12" s="1">
        <f t="array" ref="Y12">IF($S12,$P$25*MAX(0,$R12-1*IF(OR(ISNUMBER(SEARCH($O12,H$5)), ISNUMBER(SEARCH($Q12,H$5)), (ISNUMBER(SEARCH("All",H$5)))),$R12,SUMPRODUCT(--((ISNUMBER(SEARCH("All",H$6:H$104)) + ISNUMBER(SEARCH($O12,H$6:H$104)) + ISNUMBER(SEARCH($Q12,H$6:H$104)) +  ISNUMBER(SEARCH($P12,H$6:H$104))) &gt; 0),$C$6:$C$104))),$S$26*$P$25*MAX(0,$R12-1*IF(OR(ISNUMBER(SEARCH($O12,H$5)), ISNUMBER(SEARCH($Q12,H$5)), (ISNUMBER(SEARCH("All",H$5)))),$R12,SUMPRODUCT(--((ISNUMBER(SEARCH("All",H$6:H$104)) + ISNUMBER(SEARCH($O12,H$6:H$104)) + ISNUMBER(SEARCH($Q12,H$6:H$104)) +  ISNUMBER(SEARCH($P12,H$6:H$104))) &gt; 0),$C$6:$C$104))))</f>
        <v>6.4</v>
      </c>
      <c r="Z12" s="1">
        <f t="array" ref="Z12">IF($S12,$P$25*MAX(0,$R12-1*IF(OR(ISNUMBER(SEARCH($O12,I$5)), ISNUMBER(SEARCH($Q12,I$5)), (ISNUMBER(SEARCH("All",I$5)))),$R12,SUMPRODUCT(--((ISNUMBER(SEARCH("All",I$6:I$104)) + ISNUMBER(SEARCH($O12,I$6:I$104)) + ISNUMBER(SEARCH($Q12,I$6:I$104)) +  ISNUMBER(SEARCH($P12,I$6:I$104))) &gt; 0),$C$6:$C$104))),$S$26*$P$25*MAX(0,$R12-1*IF(OR(ISNUMBER(SEARCH($O12,I$5)), ISNUMBER(SEARCH($Q12,I$5)), (ISNUMBER(SEARCH("All",I$5)))),$R12,SUMPRODUCT(--((ISNUMBER(SEARCH("All",I$6:I$104)) + ISNUMBER(SEARCH($O12,I$6:I$104)) + ISNUMBER(SEARCH($Q12,I$6:I$104)) +  ISNUMBER(SEARCH($P12,I$6:I$104))) &gt; 0),$C$6:$C$104))))</f>
        <v>6.4</v>
      </c>
      <c r="AA12" s="1">
        <f t="array" ref="AA12">IF($S12,$P$25*MAX(0,$R12-1*IF(OR(ISNUMBER(SEARCH($O12,J$5)), ISNUMBER(SEARCH($Q12,J$5)), (ISNUMBER(SEARCH("All",J$5)))),$R12,SUMPRODUCT(--((ISNUMBER(SEARCH("All",J$6:J$104)) + ISNUMBER(SEARCH($O12,J$6:J$104)) + ISNUMBER(SEARCH($Q12,J$6:J$104)) +  ISNUMBER(SEARCH($P12,J$6:J$104))) &gt; 0),$C$6:$C$104))),$S$26*$P$25*MAX(0,$R12-1*IF(OR(ISNUMBER(SEARCH($O12,J$5)), ISNUMBER(SEARCH($Q12,J$5)), (ISNUMBER(SEARCH("All",J$5)))),$R12,SUMPRODUCT(--((ISNUMBER(SEARCH("All",J$6:J$104)) + ISNUMBER(SEARCH($O12,J$6:J$104)) + ISNUMBER(SEARCH($Q12,J$6:J$104)) +  ISNUMBER(SEARCH($P12,J$6:J$104))) &gt; 0),$C$6:$C$104))))</f>
        <v>6.4</v>
      </c>
      <c r="AB12" s="1">
        <f t="array" ref="AB12">IF($S12,$P$25*MAX(0,$R12-1*IF(OR(ISNUMBER(SEARCH($O12,K$5)), ISNUMBER(SEARCH($Q12,K$5)), (ISNUMBER(SEARCH("All",K$5)))),$R12,SUMPRODUCT(--((ISNUMBER(SEARCH("All",K$6:K$104)) + ISNUMBER(SEARCH($O12,K$6:K$104)) + ISNUMBER(SEARCH($Q12,K$6:K$104)) +  ISNUMBER(SEARCH($P12,K$6:K$104))) &gt; 0),$C$6:$C$104))),$S$26*$P$25*MAX(0,$R12-1*IF(OR(ISNUMBER(SEARCH($O12,K$5)), ISNUMBER(SEARCH($Q12,K$5)), (ISNUMBER(SEARCH("All",K$5)))),$R12,SUMPRODUCT(--((ISNUMBER(SEARCH("All",K$6:K$104)) + ISNUMBER(SEARCH($O12,K$6:K$104)) + ISNUMBER(SEARCH($Q12,K$6:K$104)) +  ISNUMBER(SEARCH($P12,K$6:K$104))) &gt; 0),$C$6:$C$104))))</f>
        <v>6.4</v>
      </c>
      <c r="AC12" s="1">
        <f t="array" ref="AC12">IF($S12,$P$25*MAX(0,$R12-1*IF(OR(ISNUMBER(SEARCH($O12,L$5)), ISNUMBER(SEARCH($Q12,L$5)), (ISNUMBER(SEARCH("All",L$5)))),$R12,SUMPRODUCT(--((ISNUMBER(SEARCH("All",L$6:L$104)) + ISNUMBER(SEARCH($O12,L$6:L$104)) + ISNUMBER(SEARCH($Q12,L$6:L$104)) +  ISNUMBER(SEARCH($P12,L$6:L$104))) &gt; 0),$C$6:$C$104))),$S$26*$P$25*MAX(0,$R12-1*IF(OR(ISNUMBER(SEARCH($O12,L$5)), ISNUMBER(SEARCH($Q12,L$5)), (ISNUMBER(SEARCH("All",L$5)))),$R12,SUMPRODUCT(--((ISNUMBER(SEARCH("All",L$6:L$104)) + ISNUMBER(SEARCH($O12,L$6:L$104)) + ISNUMBER(SEARCH($Q12,L$6:L$104)) +  ISNUMBER(SEARCH($P12,L$6:L$104))) &gt; 0),$C$6:$C$104))))</f>
        <v>6.4</v>
      </c>
      <c r="AD12" s="1">
        <f t="array" ref="AD12">IF($S12,$P$25*MAX(0,$R12-1*IF(OR(ISNUMBER(SEARCH($O12,M$5)), ISNUMBER(SEARCH($Q12,M$5)), (ISNUMBER(SEARCH("All",M$5)))),$R12,SUMPRODUCT(--((ISNUMBER(SEARCH("All",M$6:M$104)) + ISNUMBER(SEARCH($O12,M$6:M$104)) + ISNUMBER(SEARCH($Q12,M$6:M$104)) +  ISNUMBER(SEARCH($P12,M$6:M$104))) &gt; 0),$C$6:$C$104))),$S$26*$P$25*MAX(0,$R12-1*IF(OR(ISNUMBER(SEARCH($O12,M$5)), ISNUMBER(SEARCH($Q12,M$5)), (ISNUMBER(SEARCH("All",M$5)))),$R12,SUMPRODUCT(--((ISNUMBER(SEARCH("All",M$6:M$104)) + ISNUMBER(SEARCH($O12,M$6:M$104)) + ISNUMBER(SEARCH($Q12,M$6:M$104)) +  ISNUMBER(SEARCH($P12,M$6:M$104))) &gt; 0),$C$6:$C$104))))</f>
        <v>6.4</v>
      </c>
      <c r="AE12" s="6"/>
      <c r="AF12" s="6">
        <f t="shared" si="6"/>
        <v>64</v>
      </c>
      <c r="AG12" s="6"/>
      <c r="AH12" s="6"/>
      <c r="AI12" s="6"/>
      <c r="AJ12" s="28">
        <f t="shared" si="12"/>
        <v>45138</v>
      </c>
      <c r="AK12" s="26"/>
      <c r="AL12" s="26"/>
      <c r="AM12" s="43"/>
      <c r="AN12" s="44"/>
      <c r="AO12" s="6"/>
      <c r="AP12" s="32">
        <f t="shared" si="7"/>
        <v>0</v>
      </c>
      <c r="AQ12" s="33" t="str">
        <f t="shared" si="8"/>
        <v/>
      </c>
      <c r="AR12" s="34">
        <f t="shared" si="13"/>
        <v>0.56</v>
      </c>
      <c r="AS12" s="35">
        <f t="shared" si="9"/>
        <v>0</v>
      </c>
      <c r="AT12" s="35">
        <f t="shared" si="10"/>
        <v>0</v>
      </c>
      <c r="AU12" s="33" t="str">
        <f t="shared" si="14"/>
        <v/>
      </c>
      <c r="AV12" s="36">
        <f>ROUND(AB23,2)</f>
        <v>0.07</v>
      </c>
      <c r="AW12" s="6" t="str">
        <f>AB$4</f>
        <v>pon.</v>
      </c>
      <c r="AX12" s="29"/>
      <c r="AY12" s="29"/>
      <c r="AZ12" s="37" t="str">
        <f t="shared" si="11"/>
        <v/>
      </c>
      <c r="BA12" s="38"/>
      <c r="BB12" s="26"/>
      <c r="BO12" s="6"/>
    </row>
    <row r="13">
      <c r="A13" s="7"/>
      <c r="B13" s="40"/>
      <c r="C13" s="6">
        <v>2.0</v>
      </c>
      <c r="D13" s="6"/>
      <c r="E13" s="6"/>
      <c r="F13" s="6"/>
      <c r="G13" s="6"/>
      <c r="H13" s="6"/>
      <c r="I13" s="6"/>
      <c r="J13" s="6"/>
      <c r="K13" s="6"/>
      <c r="L13" s="6"/>
      <c r="M13" s="42"/>
      <c r="N13" s="6"/>
      <c r="P13" s="1" t="s">
        <v>58</v>
      </c>
      <c r="Q13" s="1" t="s">
        <v>59</v>
      </c>
      <c r="R13" s="1">
        <v>8.0</v>
      </c>
      <c r="S13" s="26" t="b">
        <v>1</v>
      </c>
      <c r="T13" s="27">
        <f t="shared" si="5"/>
        <v>6.4</v>
      </c>
      <c r="U13" s="1">
        <f t="array" ref="U13">IF($S13,$P$25*MAX(0,$R13-1*IF(OR(ISNUMBER(SEARCH($O13,D$5)), ISNUMBER(SEARCH($Q13,D$5)), (ISNUMBER(SEARCH("All",D$5)))),$R13,SUMPRODUCT(--((ISNUMBER(SEARCH("All",D$6:D$104)) + ISNUMBER(SEARCH($O13,D$6:D$104)) + ISNUMBER(SEARCH($Q13,D$6:D$104)) +  ISNUMBER(SEARCH($P13,D$6:D$104))) &gt; 0),$C$6:$C$104))),$S$26*$P$25*MAX(0,$R13-1*IF(OR(ISNUMBER(SEARCH($O13,D$5)), ISNUMBER(SEARCH($Q13,D$5)), (ISNUMBER(SEARCH("All",D$5)))),$R13,SUMPRODUCT(--((ISNUMBER(SEARCH("All",D$6:D$104)) + ISNUMBER(SEARCH($O13,D$6:D$104)) + ISNUMBER(SEARCH($Q13,D$6:D$104)) +  ISNUMBER(SEARCH($P13,D$6:D$104))) &gt; 0),$C$6:$C$104))))</f>
        <v>6.4</v>
      </c>
      <c r="V13" s="1">
        <f t="array" ref="V13">IF($S13,$P$25*MAX(0,$R13-1*IF(OR(ISNUMBER(SEARCH($O13,E$5)), ISNUMBER(SEARCH($Q13,E$5)), (ISNUMBER(SEARCH("All",E$5)))),$R13,SUMPRODUCT(--((ISNUMBER(SEARCH("All",E$6:E$104)) + ISNUMBER(SEARCH($O13,E$6:E$104)) + ISNUMBER(SEARCH($Q13,E$6:E$104)) +  ISNUMBER(SEARCH($P13,E$6:E$104))) &gt; 0),$C$6:$C$104))),$S$26*$P$25*MAX(0,$R13-1*IF(OR(ISNUMBER(SEARCH($O13,E$5)), ISNUMBER(SEARCH($Q13,E$5)), (ISNUMBER(SEARCH("All",E$5)))),$R13,SUMPRODUCT(--((ISNUMBER(SEARCH("All",E$6:E$104)) + ISNUMBER(SEARCH($O13,E$6:E$104)) + ISNUMBER(SEARCH($Q13,E$6:E$104)) +  ISNUMBER(SEARCH($P13,E$6:E$104))) &gt; 0),$C$6:$C$104))))</f>
        <v>6.4</v>
      </c>
      <c r="W13" s="1">
        <f t="array" ref="W13">IF($S13,$P$25*MAX(0,$R13-1*IF(OR(ISNUMBER(SEARCH($O13,F$5)), ISNUMBER(SEARCH($Q13,F$5)), (ISNUMBER(SEARCH("All",F$5)))),$R13,SUMPRODUCT(--((ISNUMBER(SEARCH("All",F$6:F$104)) + ISNUMBER(SEARCH($O13,F$6:F$104)) + ISNUMBER(SEARCH($Q13,F$6:F$104)) +  ISNUMBER(SEARCH($P13,F$6:F$104))) &gt; 0),$C$6:$C$104))),$S$26*$P$25*MAX(0,$R13-1*IF(OR(ISNUMBER(SEARCH($O13,F$5)), ISNUMBER(SEARCH($Q13,F$5)), (ISNUMBER(SEARCH("All",F$5)))),$R13,SUMPRODUCT(--((ISNUMBER(SEARCH("All",F$6:F$104)) + ISNUMBER(SEARCH($O13,F$6:F$104)) + ISNUMBER(SEARCH($Q13,F$6:F$104)) +  ISNUMBER(SEARCH($P13,F$6:F$104))) &gt; 0),$C$6:$C$104))))</f>
        <v>6.4</v>
      </c>
      <c r="X13" s="1">
        <f t="array" ref="X13">IF($S13,$P$25*MAX(0,$R13-1*IF(OR(ISNUMBER(SEARCH($O13,G$5)), ISNUMBER(SEARCH($Q13,G$5)), (ISNUMBER(SEARCH("All",G$5)))),$R13,SUMPRODUCT(--((ISNUMBER(SEARCH("All",G$6:G$104)) + ISNUMBER(SEARCH($O13,G$6:G$104)) + ISNUMBER(SEARCH($Q13,G$6:G$104)) +  ISNUMBER(SEARCH($P13,G$6:G$104))) &gt; 0),$C$6:$C$104))),$S$26*$P$25*MAX(0,$R13-1*IF(OR(ISNUMBER(SEARCH($O13,G$5)), ISNUMBER(SEARCH($Q13,G$5)), (ISNUMBER(SEARCH("All",G$5)))),$R13,SUMPRODUCT(--((ISNUMBER(SEARCH("All",G$6:G$104)) + ISNUMBER(SEARCH($O13,G$6:G$104)) + ISNUMBER(SEARCH($Q13,G$6:G$104)) +  ISNUMBER(SEARCH($P13,G$6:G$104))) &gt; 0),$C$6:$C$104))))</f>
        <v>6.4</v>
      </c>
      <c r="Y13" s="1">
        <f t="array" ref="Y13">IF($S13,$P$25*MAX(0,$R13-1*IF(OR(ISNUMBER(SEARCH($O13,H$5)), ISNUMBER(SEARCH($Q13,H$5)), (ISNUMBER(SEARCH("All",H$5)))),$R13,SUMPRODUCT(--((ISNUMBER(SEARCH("All",H$6:H$104)) + ISNUMBER(SEARCH($O13,H$6:H$104)) + ISNUMBER(SEARCH($Q13,H$6:H$104)) +  ISNUMBER(SEARCH($P13,H$6:H$104))) &gt; 0),$C$6:$C$104))),$S$26*$P$25*MAX(0,$R13-1*IF(OR(ISNUMBER(SEARCH($O13,H$5)), ISNUMBER(SEARCH($Q13,H$5)), (ISNUMBER(SEARCH("All",H$5)))),$R13,SUMPRODUCT(--((ISNUMBER(SEARCH("All",H$6:H$104)) + ISNUMBER(SEARCH($O13,H$6:H$104)) + ISNUMBER(SEARCH($Q13,H$6:H$104)) +  ISNUMBER(SEARCH($P13,H$6:H$104))) &gt; 0),$C$6:$C$104))))</f>
        <v>6.4</v>
      </c>
      <c r="Z13" s="1">
        <f t="array" ref="Z13">IF($S13,$P$25*MAX(0,$R13-1*IF(OR(ISNUMBER(SEARCH($O13,I$5)), ISNUMBER(SEARCH($Q13,I$5)), (ISNUMBER(SEARCH("All",I$5)))),$R13,SUMPRODUCT(--((ISNUMBER(SEARCH("All",I$6:I$104)) + ISNUMBER(SEARCH($O13,I$6:I$104)) + ISNUMBER(SEARCH($Q13,I$6:I$104)) +  ISNUMBER(SEARCH($P13,I$6:I$104))) &gt; 0),$C$6:$C$104))),$S$26*$P$25*MAX(0,$R13-1*IF(OR(ISNUMBER(SEARCH($O13,I$5)), ISNUMBER(SEARCH($Q13,I$5)), (ISNUMBER(SEARCH("All",I$5)))),$R13,SUMPRODUCT(--((ISNUMBER(SEARCH("All",I$6:I$104)) + ISNUMBER(SEARCH($O13,I$6:I$104)) + ISNUMBER(SEARCH($Q13,I$6:I$104)) +  ISNUMBER(SEARCH($P13,I$6:I$104))) &gt; 0),$C$6:$C$104))))</f>
        <v>6.4</v>
      </c>
      <c r="AA13" s="1">
        <f t="array" ref="AA13">IF($S13,$P$25*MAX(0,$R13-1*IF(OR(ISNUMBER(SEARCH($O13,J$5)), ISNUMBER(SEARCH($Q13,J$5)), (ISNUMBER(SEARCH("All",J$5)))),$R13,SUMPRODUCT(--((ISNUMBER(SEARCH("All",J$6:J$104)) + ISNUMBER(SEARCH($O13,J$6:J$104)) + ISNUMBER(SEARCH($Q13,J$6:J$104)) +  ISNUMBER(SEARCH($P13,J$6:J$104))) &gt; 0),$C$6:$C$104))),$S$26*$P$25*MAX(0,$R13-1*IF(OR(ISNUMBER(SEARCH($O13,J$5)), ISNUMBER(SEARCH($Q13,J$5)), (ISNUMBER(SEARCH("All",J$5)))),$R13,SUMPRODUCT(--((ISNUMBER(SEARCH("All",J$6:J$104)) + ISNUMBER(SEARCH($O13,J$6:J$104)) + ISNUMBER(SEARCH($Q13,J$6:J$104)) +  ISNUMBER(SEARCH($P13,J$6:J$104))) &gt; 0),$C$6:$C$104))))</f>
        <v>6.4</v>
      </c>
      <c r="AB13" s="1">
        <f t="array" ref="AB13">IF($S13,$P$25*MAX(0,$R13-1*IF(OR(ISNUMBER(SEARCH($O13,K$5)), ISNUMBER(SEARCH($Q13,K$5)), (ISNUMBER(SEARCH("All",K$5)))),$R13,SUMPRODUCT(--((ISNUMBER(SEARCH("All",K$6:K$104)) + ISNUMBER(SEARCH($O13,K$6:K$104)) + ISNUMBER(SEARCH($Q13,K$6:K$104)) +  ISNUMBER(SEARCH($P13,K$6:K$104))) &gt; 0),$C$6:$C$104))),$S$26*$P$25*MAX(0,$R13-1*IF(OR(ISNUMBER(SEARCH($O13,K$5)), ISNUMBER(SEARCH($Q13,K$5)), (ISNUMBER(SEARCH("All",K$5)))),$R13,SUMPRODUCT(--((ISNUMBER(SEARCH("All",K$6:K$104)) + ISNUMBER(SEARCH($O13,K$6:K$104)) + ISNUMBER(SEARCH($Q13,K$6:K$104)) +  ISNUMBER(SEARCH($P13,K$6:K$104))) &gt; 0),$C$6:$C$104))))</f>
        <v>6.4</v>
      </c>
      <c r="AC13" s="1">
        <f t="array" ref="AC13">IF($S13,$P$25*MAX(0,$R13-1*IF(OR(ISNUMBER(SEARCH($O13,L$5)), ISNUMBER(SEARCH($Q13,L$5)), (ISNUMBER(SEARCH("All",L$5)))),$R13,SUMPRODUCT(--((ISNUMBER(SEARCH("All",L$6:L$104)) + ISNUMBER(SEARCH($O13,L$6:L$104)) + ISNUMBER(SEARCH($Q13,L$6:L$104)) +  ISNUMBER(SEARCH($P13,L$6:L$104))) &gt; 0),$C$6:$C$104))),$S$26*$P$25*MAX(0,$R13-1*IF(OR(ISNUMBER(SEARCH($O13,L$5)), ISNUMBER(SEARCH($Q13,L$5)), (ISNUMBER(SEARCH("All",L$5)))),$R13,SUMPRODUCT(--((ISNUMBER(SEARCH("All",L$6:L$104)) + ISNUMBER(SEARCH($O13,L$6:L$104)) + ISNUMBER(SEARCH($Q13,L$6:L$104)) +  ISNUMBER(SEARCH($P13,L$6:L$104))) &gt; 0),$C$6:$C$104))))</f>
        <v>6.4</v>
      </c>
      <c r="AD13" s="1">
        <f t="array" ref="AD13">IF($S13,$P$25*MAX(0,$R13-1*IF(OR(ISNUMBER(SEARCH($O13,M$5)), ISNUMBER(SEARCH($Q13,M$5)), (ISNUMBER(SEARCH("All",M$5)))),$R13,SUMPRODUCT(--((ISNUMBER(SEARCH("All",M$6:M$104)) + ISNUMBER(SEARCH($O13,M$6:M$104)) + ISNUMBER(SEARCH($Q13,M$6:M$104)) +  ISNUMBER(SEARCH($P13,M$6:M$104))) &gt; 0),$C$6:$C$104))),$S$26*$P$25*MAX(0,$R13-1*IF(OR(ISNUMBER(SEARCH($O13,M$5)), ISNUMBER(SEARCH($Q13,M$5)), (ISNUMBER(SEARCH("All",M$5)))),$R13,SUMPRODUCT(--((ISNUMBER(SEARCH("All",M$6:M$104)) + ISNUMBER(SEARCH($O13,M$6:M$104)) + ISNUMBER(SEARCH($Q13,M$6:M$104)) +  ISNUMBER(SEARCH($P13,M$6:M$104))) &gt; 0),$C$6:$C$104))))</f>
        <v>6.4</v>
      </c>
      <c r="AE13" s="6"/>
      <c r="AF13" s="6">
        <f t="shared" si="6"/>
        <v>64</v>
      </c>
      <c r="AG13" s="6"/>
      <c r="AH13" s="6"/>
      <c r="AI13" s="6"/>
      <c r="AJ13" s="28">
        <f t="shared" si="12"/>
        <v>45139</v>
      </c>
      <c r="AK13" s="26"/>
      <c r="AL13" s="26"/>
      <c r="AM13" s="43"/>
      <c r="AN13" s="44"/>
      <c r="AP13" s="32">
        <f t="shared" si="7"/>
        <v>0</v>
      </c>
      <c r="AQ13" s="33" t="str">
        <f t="shared" si="8"/>
        <v/>
      </c>
      <c r="AR13" s="34">
        <f t="shared" si="13"/>
        <v>0.63</v>
      </c>
      <c r="AS13" s="35">
        <f t="shared" si="9"/>
        <v>0</v>
      </c>
      <c r="AT13" s="35">
        <f t="shared" si="10"/>
        <v>0</v>
      </c>
      <c r="AU13" s="33" t="str">
        <f t="shared" si="14"/>
        <v/>
      </c>
      <c r="AV13" s="36">
        <f>ROUND(AC23,2)</f>
        <v>0.07</v>
      </c>
      <c r="AW13" s="6" t="str">
        <f>AC$4</f>
        <v>wt.</v>
      </c>
      <c r="AX13" s="29"/>
      <c r="AY13" s="29"/>
      <c r="AZ13" s="37" t="str">
        <f t="shared" si="11"/>
        <v/>
      </c>
      <c r="BA13" s="38"/>
      <c r="BB13" s="26"/>
      <c r="BO13" s="6"/>
    </row>
    <row r="14">
      <c r="A14" s="7"/>
      <c r="B14" s="40"/>
      <c r="C14" s="6">
        <v>0.5</v>
      </c>
      <c r="D14" s="6"/>
      <c r="E14" s="6"/>
      <c r="F14" s="6"/>
      <c r="G14" s="6"/>
      <c r="H14" s="6"/>
      <c r="I14" s="6"/>
      <c r="J14" s="6"/>
      <c r="K14" s="6"/>
      <c r="L14" s="6"/>
      <c r="M14" s="42"/>
      <c r="N14" s="6"/>
      <c r="P14" s="1" t="s">
        <v>56</v>
      </c>
      <c r="Q14" s="1" t="s">
        <v>59</v>
      </c>
      <c r="R14" s="1">
        <v>8.0</v>
      </c>
      <c r="S14" s="26" t="b">
        <v>1</v>
      </c>
      <c r="T14" s="27">
        <f t="shared" si="5"/>
        <v>6.4</v>
      </c>
      <c r="U14" s="1">
        <f t="array" ref="U14">IF($S14,$P$25*MAX(0,$R14-1*IF(OR(ISNUMBER(SEARCH($O14,D$5)), ISNUMBER(SEARCH($Q14,D$5)), (ISNUMBER(SEARCH("All",D$5)))),$R14,SUMPRODUCT(--((ISNUMBER(SEARCH("All",D$6:D$104)) + ISNUMBER(SEARCH($O14,D$6:D$104)) + ISNUMBER(SEARCH($Q14,D$6:D$104)) +  ISNUMBER(SEARCH($P14,D$6:D$104))) &gt; 0),$C$6:$C$104))),$S$26*$P$25*MAX(0,$R14-1*IF(OR(ISNUMBER(SEARCH($O14,D$5)), ISNUMBER(SEARCH($Q14,D$5)), (ISNUMBER(SEARCH("All",D$5)))),$R14,SUMPRODUCT(--((ISNUMBER(SEARCH("All",D$6:D$104)) + ISNUMBER(SEARCH($O14,D$6:D$104)) + ISNUMBER(SEARCH($Q14,D$6:D$104)) +  ISNUMBER(SEARCH($P14,D$6:D$104))) &gt; 0),$C$6:$C$104))))</f>
        <v>6.4</v>
      </c>
      <c r="V14" s="1">
        <f t="array" ref="V14">IF($S14,$P$25*MAX(0,$R14-1*IF(OR(ISNUMBER(SEARCH($O14,E$5)), ISNUMBER(SEARCH($Q14,E$5)), (ISNUMBER(SEARCH("All",E$5)))),$R14,SUMPRODUCT(--((ISNUMBER(SEARCH("All",E$6:E$104)) + ISNUMBER(SEARCH($O14,E$6:E$104)) + ISNUMBER(SEARCH($Q14,E$6:E$104)) +  ISNUMBER(SEARCH($P14,E$6:E$104))) &gt; 0),$C$6:$C$104))),$S$26*$P$25*MAX(0,$R14-1*IF(OR(ISNUMBER(SEARCH($O14,E$5)), ISNUMBER(SEARCH($Q14,E$5)), (ISNUMBER(SEARCH("All",E$5)))),$R14,SUMPRODUCT(--((ISNUMBER(SEARCH("All",E$6:E$104)) + ISNUMBER(SEARCH($O14,E$6:E$104)) + ISNUMBER(SEARCH($Q14,E$6:E$104)) +  ISNUMBER(SEARCH($P14,E$6:E$104))) &gt; 0),$C$6:$C$104))))</f>
        <v>6.4</v>
      </c>
      <c r="W14" s="1">
        <f t="array" ref="W14">IF($S14,$P$25*MAX(0,$R14-1*IF(OR(ISNUMBER(SEARCH($O14,F$5)), ISNUMBER(SEARCH($Q14,F$5)), (ISNUMBER(SEARCH("All",F$5)))),$R14,SUMPRODUCT(--((ISNUMBER(SEARCH("All",F$6:F$104)) + ISNUMBER(SEARCH($O14,F$6:F$104)) + ISNUMBER(SEARCH($Q14,F$6:F$104)) +  ISNUMBER(SEARCH($P14,F$6:F$104))) &gt; 0),$C$6:$C$104))),$S$26*$P$25*MAX(0,$R14-1*IF(OR(ISNUMBER(SEARCH($O14,F$5)), ISNUMBER(SEARCH($Q14,F$5)), (ISNUMBER(SEARCH("All",F$5)))),$R14,SUMPRODUCT(--((ISNUMBER(SEARCH("All",F$6:F$104)) + ISNUMBER(SEARCH($O14,F$6:F$104)) + ISNUMBER(SEARCH($Q14,F$6:F$104)) +  ISNUMBER(SEARCH($P14,F$6:F$104))) &gt; 0),$C$6:$C$104))))</f>
        <v>6.4</v>
      </c>
      <c r="X14" s="1">
        <f t="array" ref="X14">IF($S14,$P$25*MAX(0,$R14-1*IF(OR(ISNUMBER(SEARCH($O14,G$5)), ISNUMBER(SEARCH($Q14,G$5)), (ISNUMBER(SEARCH("All",G$5)))),$R14,SUMPRODUCT(--((ISNUMBER(SEARCH("All",G$6:G$104)) + ISNUMBER(SEARCH($O14,G$6:G$104)) + ISNUMBER(SEARCH($Q14,G$6:G$104)) +  ISNUMBER(SEARCH($P14,G$6:G$104))) &gt; 0),$C$6:$C$104))),$S$26*$P$25*MAX(0,$R14-1*IF(OR(ISNUMBER(SEARCH($O14,G$5)), ISNUMBER(SEARCH($Q14,G$5)), (ISNUMBER(SEARCH("All",G$5)))),$R14,SUMPRODUCT(--((ISNUMBER(SEARCH("All",G$6:G$104)) + ISNUMBER(SEARCH($O14,G$6:G$104)) + ISNUMBER(SEARCH($Q14,G$6:G$104)) +  ISNUMBER(SEARCH($P14,G$6:G$104))) &gt; 0),$C$6:$C$104))))</f>
        <v>6.4</v>
      </c>
      <c r="Y14" s="1">
        <f t="array" ref="Y14">IF($S14,$P$25*MAX(0,$R14-1*IF(OR(ISNUMBER(SEARCH($O14,H$5)), ISNUMBER(SEARCH($Q14,H$5)), (ISNUMBER(SEARCH("All",H$5)))),$R14,SUMPRODUCT(--((ISNUMBER(SEARCH("All",H$6:H$104)) + ISNUMBER(SEARCH($O14,H$6:H$104)) + ISNUMBER(SEARCH($Q14,H$6:H$104)) +  ISNUMBER(SEARCH($P14,H$6:H$104))) &gt; 0),$C$6:$C$104))),$S$26*$P$25*MAX(0,$R14-1*IF(OR(ISNUMBER(SEARCH($O14,H$5)), ISNUMBER(SEARCH($Q14,H$5)), (ISNUMBER(SEARCH("All",H$5)))),$R14,SUMPRODUCT(--((ISNUMBER(SEARCH("All",H$6:H$104)) + ISNUMBER(SEARCH($O14,H$6:H$104)) + ISNUMBER(SEARCH($Q14,H$6:H$104)) +  ISNUMBER(SEARCH($P14,H$6:H$104))) &gt; 0),$C$6:$C$104))))</f>
        <v>6.4</v>
      </c>
      <c r="Z14" s="1">
        <f t="array" ref="Z14">IF($S14,$P$25*MAX(0,$R14-1*IF(OR(ISNUMBER(SEARCH($O14,I$5)), ISNUMBER(SEARCH($Q14,I$5)), (ISNUMBER(SEARCH("All",I$5)))),$R14,SUMPRODUCT(--((ISNUMBER(SEARCH("All",I$6:I$104)) + ISNUMBER(SEARCH($O14,I$6:I$104)) + ISNUMBER(SEARCH($Q14,I$6:I$104)) +  ISNUMBER(SEARCH($P14,I$6:I$104))) &gt; 0),$C$6:$C$104))),$S$26*$P$25*MAX(0,$R14-1*IF(OR(ISNUMBER(SEARCH($O14,I$5)), ISNUMBER(SEARCH($Q14,I$5)), (ISNUMBER(SEARCH("All",I$5)))),$R14,SUMPRODUCT(--((ISNUMBER(SEARCH("All",I$6:I$104)) + ISNUMBER(SEARCH($O14,I$6:I$104)) + ISNUMBER(SEARCH($Q14,I$6:I$104)) +  ISNUMBER(SEARCH($P14,I$6:I$104))) &gt; 0),$C$6:$C$104))))</f>
        <v>6.4</v>
      </c>
      <c r="AA14" s="1">
        <f t="array" ref="AA14">IF($S14,$P$25*MAX(0,$R14-1*IF(OR(ISNUMBER(SEARCH($O14,J$5)), ISNUMBER(SEARCH($Q14,J$5)), (ISNUMBER(SEARCH("All",J$5)))),$R14,SUMPRODUCT(--((ISNUMBER(SEARCH("All",J$6:J$104)) + ISNUMBER(SEARCH($O14,J$6:J$104)) + ISNUMBER(SEARCH($Q14,J$6:J$104)) +  ISNUMBER(SEARCH($P14,J$6:J$104))) &gt; 0),$C$6:$C$104))),$S$26*$P$25*MAX(0,$R14-1*IF(OR(ISNUMBER(SEARCH($O14,J$5)), ISNUMBER(SEARCH($Q14,J$5)), (ISNUMBER(SEARCH("All",J$5)))),$R14,SUMPRODUCT(--((ISNUMBER(SEARCH("All",J$6:J$104)) + ISNUMBER(SEARCH($O14,J$6:J$104)) + ISNUMBER(SEARCH($Q14,J$6:J$104)) +  ISNUMBER(SEARCH($P14,J$6:J$104))) &gt; 0),$C$6:$C$104))))</f>
        <v>6.4</v>
      </c>
      <c r="AB14" s="1">
        <f t="array" ref="AB14">IF($S14,$P$25*MAX(0,$R14-1*IF(OR(ISNUMBER(SEARCH($O14,K$5)), ISNUMBER(SEARCH($Q14,K$5)), (ISNUMBER(SEARCH("All",K$5)))),$R14,SUMPRODUCT(--((ISNUMBER(SEARCH("All",K$6:K$104)) + ISNUMBER(SEARCH($O14,K$6:K$104)) + ISNUMBER(SEARCH($Q14,K$6:K$104)) +  ISNUMBER(SEARCH($P14,K$6:K$104))) &gt; 0),$C$6:$C$104))),$S$26*$P$25*MAX(0,$R14-1*IF(OR(ISNUMBER(SEARCH($O14,K$5)), ISNUMBER(SEARCH($Q14,K$5)), (ISNUMBER(SEARCH("All",K$5)))),$R14,SUMPRODUCT(--((ISNUMBER(SEARCH("All",K$6:K$104)) + ISNUMBER(SEARCH($O14,K$6:K$104)) + ISNUMBER(SEARCH($Q14,K$6:K$104)) +  ISNUMBER(SEARCH($P14,K$6:K$104))) &gt; 0),$C$6:$C$104))))</f>
        <v>6.4</v>
      </c>
      <c r="AC14" s="1">
        <f t="array" ref="AC14">IF($S14,$P$25*MAX(0,$R14-1*IF(OR(ISNUMBER(SEARCH($O14,L$5)), ISNUMBER(SEARCH($Q14,L$5)), (ISNUMBER(SEARCH("All",L$5)))),$R14,SUMPRODUCT(--((ISNUMBER(SEARCH("All",L$6:L$104)) + ISNUMBER(SEARCH($O14,L$6:L$104)) + ISNUMBER(SEARCH($Q14,L$6:L$104)) +  ISNUMBER(SEARCH($P14,L$6:L$104))) &gt; 0),$C$6:$C$104))),$S$26*$P$25*MAX(0,$R14-1*IF(OR(ISNUMBER(SEARCH($O14,L$5)), ISNUMBER(SEARCH($Q14,L$5)), (ISNUMBER(SEARCH("All",L$5)))),$R14,SUMPRODUCT(--((ISNUMBER(SEARCH("All",L$6:L$104)) + ISNUMBER(SEARCH($O14,L$6:L$104)) + ISNUMBER(SEARCH($Q14,L$6:L$104)) +  ISNUMBER(SEARCH($P14,L$6:L$104))) &gt; 0),$C$6:$C$104))))</f>
        <v>6.4</v>
      </c>
      <c r="AD14" s="1">
        <f t="array" ref="AD14">IF($S14,$P$25*MAX(0,$R14-1*IF(OR(ISNUMBER(SEARCH($O14,M$5)), ISNUMBER(SEARCH($Q14,M$5)), (ISNUMBER(SEARCH("All",M$5)))),$R14,SUMPRODUCT(--((ISNUMBER(SEARCH("All",M$6:M$104)) + ISNUMBER(SEARCH($O14,M$6:M$104)) + ISNUMBER(SEARCH($Q14,M$6:M$104)) +  ISNUMBER(SEARCH($P14,M$6:M$104))) &gt; 0),$C$6:$C$104))),$S$26*$P$25*MAX(0,$R14-1*IF(OR(ISNUMBER(SEARCH($O14,M$5)), ISNUMBER(SEARCH($Q14,M$5)), (ISNUMBER(SEARCH("All",M$5)))),$R14,SUMPRODUCT(--((ISNUMBER(SEARCH("All",M$6:M$104)) + ISNUMBER(SEARCH($O14,M$6:M$104)) + ISNUMBER(SEARCH($Q14,M$6:M$104)) +  ISNUMBER(SEARCH($P14,M$6:M$104))) &gt; 0),$C$6:$C$104))))</f>
        <v>6.4</v>
      </c>
      <c r="AE14" s="6"/>
      <c r="AF14" s="6">
        <f t="shared" si="6"/>
        <v>64</v>
      </c>
      <c r="AG14" s="6"/>
      <c r="AH14" s="6"/>
      <c r="AI14" s="6"/>
      <c r="AJ14" s="28">
        <f t="shared" si="12"/>
        <v>45140</v>
      </c>
      <c r="AK14" s="26"/>
      <c r="AL14" s="26"/>
      <c r="AM14" s="43"/>
      <c r="AN14" s="44"/>
      <c r="AP14" s="32">
        <f t="shared" si="7"/>
        <v>0</v>
      </c>
      <c r="AQ14" s="33" t="str">
        <f t="shared" si="8"/>
        <v/>
      </c>
      <c r="AR14" s="34">
        <f t="shared" si="13"/>
        <v>0.7</v>
      </c>
      <c r="AS14" s="35">
        <f t="shared" si="9"/>
        <v>0</v>
      </c>
      <c r="AT14" s="35">
        <f t="shared" si="10"/>
        <v>0</v>
      </c>
      <c r="AU14" s="33" t="str">
        <f t="shared" si="14"/>
        <v/>
      </c>
      <c r="AV14" s="36">
        <f>ROUND(AD23,2)</f>
        <v>0.07</v>
      </c>
      <c r="AW14" s="6" t="str">
        <f>AD$4</f>
        <v>śr.</v>
      </c>
      <c r="AX14" s="29"/>
      <c r="AY14" s="29"/>
      <c r="AZ14" s="37" t="str">
        <f t="shared" si="11"/>
        <v/>
      </c>
      <c r="BA14" s="38"/>
      <c r="BB14" s="26"/>
      <c r="BO14" s="6"/>
    </row>
    <row r="15">
      <c r="A15" s="7"/>
      <c r="B15" s="40"/>
      <c r="C15" s="6">
        <v>0.5</v>
      </c>
      <c r="D15" s="6"/>
      <c r="E15" s="6"/>
      <c r="F15" s="6"/>
      <c r="G15" s="6"/>
      <c r="H15" s="6"/>
      <c r="I15" s="6"/>
      <c r="J15" s="6"/>
      <c r="K15" s="6"/>
      <c r="L15" s="6"/>
      <c r="M15" s="42"/>
      <c r="N15" s="6"/>
      <c r="P15" s="1" t="s">
        <v>58</v>
      </c>
      <c r="Q15" s="1" t="s">
        <v>57</v>
      </c>
      <c r="R15" s="1">
        <v>8.0</v>
      </c>
      <c r="S15" s="26" t="b">
        <v>1</v>
      </c>
      <c r="T15" s="27">
        <f t="shared" si="5"/>
        <v>6.4</v>
      </c>
      <c r="U15" s="1">
        <f t="array" ref="U15">IF($S15,$P$25*MAX(0,$R15-1*IF(OR(ISNUMBER(SEARCH($O15,D$5)), ISNUMBER(SEARCH($Q15,D$5)), (ISNUMBER(SEARCH("All",D$5)))),$R15,SUMPRODUCT(--((ISNUMBER(SEARCH("All",D$6:D$104)) + ISNUMBER(SEARCH($O15,D$6:D$104)) + ISNUMBER(SEARCH($Q15,D$6:D$104)) +  ISNUMBER(SEARCH($P15,D$6:D$104))) &gt; 0),$C$6:$C$104))),$S$26*$P$25*MAX(0,$R15-1*IF(OR(ISNUMBER(SEARCH($O15,D$5)), ISNUMBER(SEARCH($Q15,D$5)), (ISNUMBER(SEARCH("All",D$5)))),$R15,SUMPRODUCT(--((ISNUMBER(SEARCH("All",D$6:D$104)) + ISNUMBER(SEARCH($O15,D$6:D$104)) + ISNUMBER(SEARCH($Q15,D$6:D$104)) +  ISNUMBER(SEARCH($P15,D$6:D$104))) &gt; 0),$C$6:$C$104))))</f>
        <v>6.4</v>
      </c>
      <c r="V15" s="1">
        <f t="array" ref="V15">IF($S15,$P$25*MAX(0,$R15-1*IF(OR(ISNUMBER(SEARCH($O15,E$5)), ISNUMBER(SEARCH($Q15,E$5)), (ISNUMBER(SEARCH("All",E$5)))),$R15,SUMPRODUCT(--((ISNUMBER(SEARCH("All",E$6:E$104)) + ISNUMBER(SEARCH($O15,E$6:E$104)) + ISNUMBER(SEARCH($Q15,E$6:E$104)) +  ISNUMBER(SEARCH($P15,E$6:E$104))) &gt; 0),$C$6:$C$104))),$S$26*$P$25*MAX(0,$R15-1*IF(OR(ISNUMBER(SEARCH($O15,E$5)), ISNUMBER(SEARCH($Q15,E$5)), (ISNUMBER(SEARCH("All",E$5)))),$R15,SUMPRODUCT(--((ISNUMBER(SEARCH("All",E$6:E$104)) + ISNUMBER(SEARCH($O15,E$6:E$104)) + ISNUMBER(SEARCH($Q15,E$6:E$104)) +  ISNUMBER(SEARCH($P15,E$6:E$104))) &gt; 0),$C$6:$C$104))))</f>
        <v>6.4</v>
      </c>
      <c r="W15" s="1">
        <f t="array" ref="W15">IF($S15,$P$25*MAX(0,$R15-1*IF(OR(ISNUMBER(SEARCH($O15,F$5)), ISNUMBER(SEARCH($Q15,F$5)), (ISNUMBER(SEARCH("All",F$5)))),$R15,SUMPRODUCT(--((ISNUMBER(SEARCH("All",F$6:F$104)) + ISNUMBER(SEARCH($O15,F$6:F$104)) + ISNUMBER(SEARCH($Q15,F$6:F$104)) +  ISNUMBER(SEARCH($P15,F$6:F$104))) &gt; 0),$C$6:$C$104))),$S$26*$P$25*MAX(0,$R15-1*IF(OR(ISNUMBER(SEARCH($O15,F$5)), ISNUMBER(SEARCH($Q15,F$5)), (ISNUMBER(SEARCH("All",F$5)))),$R15,SUMPRODUCT(--((ISNUMBER(SEARCH("All",F$6:F$104)) + ISNUMBER(SEARCH($O15,F$6:F$104)) + ISNUMBER(SEARCH($Q15,F$6:F$104)) +  ISNUMBER(SEARCH($P15,F$6:F$104))) &gt; 0),$C$6:$C$104))))</f>
        <v>6.4</v>
      </c>
      <c r="X15" s="1">
        <f t="array" ref="X15">IF($S15,$P$25*MAX(0,$R15-1*IF(OR(ISNUMBER(SEARCH($O15,G$5)), ISNUMBER(SEARCH($Q15,G$5)), (ISNUMBER(SEARCH("All",G$5)))),$R15,SUMPRODUCT(--((ISNUMBER(SEARCH("All",G$6:G$104)) + ISNUMBER(SEARCH($O15,G$6:G$104)) + ISNUMBER(SEARCH($Q15,G$6:G$104)) +  ISNUMBER(SEARCH($P15,G$6:G$104))) &gt; 0),$C$6:$C$104))),$S$26*$P$25*MAX(0,$R15-1*IF(OR(ISNUMBER(SEARCH($O15,G$5)), ISNUMBER(SEARCH($Q15,G$5)), (ISNUMBER(SEARCH("All",G$5)))),$R15,SUMPRODUCT(--((ISNUMBER(SEARCH("All",G$6:G$104)) + ISNUMBER(SEARCH($O15,G$6:G$104)) + ISNUMBER(SEARCH($Q15,G$6:G$104)) +  ISNUMBER(SEARCH($P15,G$6:G$104))) &gt; 0),$C$6:$C$104))))</f>
        <v>6.4</v>
      </c>
      <c r="Y15" s="1">
        <f t="array" ref="Y15">IF($S15,$P$25*MAX(0,$R15-1*IF(OR(ISNUMBER(SEARCH($O15,H$5)), ISNUMBER(SEARCH($Q15,H$5)), (ISNUMBER(SEARCH("All",H$5)))),$R15,SUMPRODUCT(--((ISNUMBER(SEARCH("All",H$6:H$104)) + ISNUMBER(SEARCH($O15,H$6:H$104)) + ISNUMBER(SEARCH($Q15,H$6:H$104)) +  ISNUMBER(SEARCH($P15,H$6:H$104))) &gt; 0),$C$6:$C$104))),$S$26*$P$25*MAX(0,$R15-1*IF(OR(ISNUMBER(SEARCH($O15,H$5)), ISNUMBER(SEARCH($Q15,H$5)), (ISNUMBER(SEARCH("All",H$5)))),$R15,SUMPRODUCT(--((ISNUMBER(SEARCH("All",H$6:H$104)) + ISNUMBER(SEARCH($O15,H$6:H$104)) + ISNUMBER(SEARCH($Q15,H$6:H$104)) +  ISNUMBER(SEARCH($P15,H$6:H$104))) &gt; 0),$C$6:$C$104))))</f>
        <v>6.4</v>
      </c>
      <c r="Z15" s="1">
        <f t="array" ref="Z15">IF($S15,$P$25*MAX(0,$R15-1*IF(OR(ISNUMBER(SEARCH($O15,I$5)), ISNUMBER(SEARCH($Q15,I$5)), (ISNUMBER(SEARCH("All",I$5)))),$R15,SUMPRODUCT(--((ISNUMBER(SEARCH("All",I$6:I$104)) + ISNUMBER(SEARCH($O15,I$6:I$104)) + ISNUMBER(SEARCH($Q15,I$6:I$104)) +  ISNUMBER(SEARCH($P15,I$6:I$104))) &gt; 0),$C$6:$C$104))),$S$26*$P$25*MAX(0,$R15-1*IF(OR(ISNUMBER(SEARCH($O15,I$5)), ISNUMBER(SEARCH($Q15,I$5)), (ISNUMBER(SEARCH("All",I$5)))),$R15,SUMPRODUCT(--((ISNUMBER(SEARCH("All",I$6:I$104)) + ISNUMBER(SEARCH($O15,I$6:I$104)) + ISNUMBER(SEARCH($Q15,I$6:I$104)) +  ISNUMBER(SEARCH($P15,I$6:I$104))) &gt; 0),$C$6:$C$104))))</f>
        <v>6.4</v>
      </c>
      <c r="AA15" s="1">
        <f t="array" ref="AA15">IF($S15,$P$25*MAX(0,$R15-1*IF(OR(ISNUMBER(SEARCH($O15,J$5)), ISNUMBER(SEARCH($Q15,J$5)), (ISNUMBER(SEARCH("All",J$5)))),$R15,SUMPRODUCT(--((ISNUMBER(SEARCH("All",J$6:J$104)) + ISNUMBER(SEARCH($O15,J$6:J$104)) + ISNUMBER(SEARCH($Q15,J$6:J$104)) +  ISNUMBER(SEARCH($P15,J$6:J$104))) &gt; 0),$C$6:$C$104))),$S$26*$P$25*MAX(0,$R15-1*IF(OR(ISNUMBER(SEARCH($O15,J$5)), ISNUMBER(SEARCH($Q15,J$5)), (ISNUMBER(SEARCH("All",J$5)))),$R15,SUMPRODUCT(--((ISNUMBER(SEARCH("All",J$6:J$104)) + ISNUMBER(SEARCH($O15,J$6:J$104)) + ISNUMBER(SEARCH($Q15,J$6:J$104)) +  ISNUMBER(SEARCH($P15,J$6:J$104))) &gt; 0),$C$6:$C$104))))</f>
        <v>6.4</v>
      </c>
      <c r="AB15" s="1">
        <f t="array" ref="AB15">IF($S15,$P$25*MAX(0,$R15-1*IF(OR(ISNUMBER(SEARCH($O15,K$5)), ISNUMBER(SEARCH($Q15,K$5)), (ISNUMBER(SEARCH("All",K$5)))),$R15,SUMPRODUCT(--((ISNUMBER(SEARCH("All",K$6:K$104)) + ISNUMBER(SEARCH($O15,K$6:K$104)) + ISNUMBER(SEARCH($Q15,K$6:K$104)) +  ISNUMBER(SEARCH($P15,K$6:K$104))) &gt; 0),$C$6:$C$104))),$S$26*$P$25*MAX(0,$R15-1*IF(OR(ISNUMBER(SEARCH($O15,K$5)), ISNUMBER(SEARCH($Q15,K$5)), (ISNUMBER(SEARCH("All",K$5)))),$R15,SUMPRODUCT(--((ISNUMBER(SEARCH("All",K$6:K$104)) + ISNUMBER(SEARCH($O15,K$6:K$104)) + ISNUMBER(SEARCH($Q15,K$6:K$104)) +  ISNUMBER(SEARCH($P15,K$6:K$104))) &gt; 0),$C$6:$C$104))))</f>
        <v>6.4</v>
      </c>
      <c r="AC15" s="1">
        <f t="array" ref="AC15">IF($S15,$P$25*MAX(0,$R15-1*IF(OR(ISNUMBER(SEARCH($O15,L$5)), ISNUMBER(SEARCH($Q15,L$5)), (ISNUMBER(SEARCH("All",L$5)))),$R15,SUMPRODUCT(--((ISNUMBER(SEARCH("All",L$6:L$104)) + ISNUMBER(SEARCH($O15,L$6:L$104)) + ISNUMBER(SEARCH($Q15,L$6:L$104)) +  ISNUMBER(SEARCH($P15,L$6:L$104))) &gt; 0),$C$6:$C$104))),$S$26*$P$25*MAX(0,$R15-1*IF(OR(ISNUMBER(SEARCH($O15,L$5)), ISNUMBER(SEARCH($Q15,L$5)), (ISNUMBER(SEARCH("All",L$5)))),$R15,SUMPRODUCT(--((ISNUMBER(SEARCH("All",L$6:L$104)) + ISNUMBER(SEARCH($O15,L$6:L$104)) + ISNUMBER(SEARCH($Q15,L$6:L$104)) +  ISNUMBER(SEARCH($P15,L$6:L$104))) &gt; 0),$C$6:$C$104))))</f>
        <v>6.4</v>
      </c>
      <c r="AD15" s="1">
        <f t="array" ref="AD15">IF($S15,$P$25*MAX(0,$R15-1*IF(OR(ISNUMBER(SEARCH($O15,M$5)), ISNUMBER(SEARCH($Q15,M$5)), (ISNUMBER(SEARCH("All",M$5)))),$R15,SUMPRODUCT(--((ISNUMBER(SEARCH("All",M$6:M$104)) + ISNUMBER(SEARCH($O15,M$6:M$104)) + ISNUMBER(SEARCH($Q15,M$6:M$104)) +  ISNUMBER(SEARCH($P15,M$6:M$104))) &gt; 0),$C$6:$C$104))),$S$26*$P$25*MAX(0,$R15-1*IF(OR(ISNUMBER(SEARCH($O15,M$5)), ISNUMBER(SEARCH($Q15,M$5)), (ISNUMBER(SEARCH("All",M$5)))),$R15,SUMPRODUCT(--((ISNUMBER(SEARCH("All",M$6:M$104)) + ISNUMBER(SEARCH($O15,M$6:M$104)) + ISNUMBER(SEARCH($Q15,M$6:M$104)) +  ISNUMBER(SEARCH($P15,M$6:M$104))) &gt; 0),$C$6:$C$104))))</f>
        <v>6.4</v>
      </c>
      <c r="AE15" s="6"/>
      <c r="AF15" s="6">
        <f t="shared" si="6"/>
        <v>64</v>
      </c>
      <c r="AG15" s="6"/>
      <c r="AH15" s="6"/>
      <c r="AI15" s="6"/>
      <c r="AV15" s="6"/>
      <c r="AW15" s="6"/>
      <c r="AX15" s="6"/>
      <c r="AY15" s="6"/>
      <c r="AZ15" s="6"/>
      <c r="BA15" s="6"/>
      <c r="BB15" s="6"/>
      <c r="BO15" s="6"/>
    </row>
    <row r="16">
      <c r="A16" s="7"/>
      <c r="B16" s="40"/>
      <c r="C16" s="6">
        <v>1.0</v>
      </c>
      <c r="D16" s="6"/>
      <c r="E16" s="6"/>
      <c r="F16" s="6"/>
      <c r="G16" s="6"/>
      <c r="H16" s="6"/>
      <c r="I16" s="6"/>
      <c r="J16" s="6"/>
      <c r="K16" s="6"/>
      <c r="L16" s="6"/>
      <c r="M16" s="42"/>
      <c r="N16" s="6"/>
      <c r="P16" s="1" t="s">
        <v>56</v>
      </c>
      <c r="Q16" s="1" t="s">
        <v>59</v>
      </c>
      <c r="R16" s="1">
        <v>8.0</v>
      </c>
      <c r="S16" s="26" t="b">
        <v>1</v>
      </c>
      <c r="T16" s="27">
        <f t="shared" si="5"/>
        <v>6.4</v>
      </c>
      <c r="U16" s="1">
        <f t="array" ref="U16">IF($S16,$P$25*MAX(0,$R16-1*IF(OR(ISNUMBER(SEARCH($O16,D$5)), ISNUMBER(SEARCH($Q16,D$5)), (ISNUMBER(SEARCH("All",D$5)))),$R16,SUMPRODUCT(--((ISNUMBER(SEARCH("All",D$6:D$104)) + ISNUMBER(SEARCH($O16,D$6:D$104)) + ISNUMBER(SEARCH($Q16,D$6:D$104)) +  ISNUMBER(SEARCH($P16,D$6:D$104))) &gt; 0),$C$6:$C$104))),$S$26*$P$25*MAX(0,$R16-1*IF(OR(ISNUMBER(SEARCH($O16,D$5)), ISNUMBER(SEARCH($Q16,D$5)), (ISNUMBER(SEARCH("All",D$5)))),$R16,SUMPRODUCT(--((ISNUMBER(SEARCH("All",D$6:D$104)) + ISNUMBER(SEARCH($O16,D$6:D$104)) + ISNUMBER(SEARCH($Q16,D$6:D$104)) +  ISNUMBER(SEARCH($P16,D$6:D$104))) &gt; 0),$C$6:$C$104))))</f>
        <v>6.4</v>
      </c>
      <c r="V16" s="1">
        <f t="array" ref="V16">IF($S16,$P$25*MAX(0,$R16-1*IF(OR(ISNUMBER(SEARCH($O16,E$5)), ISNUMBER(SEARCH($Q16,E$5)), (ISNUMBER(SEARCH("All",E$5)))),$R16,SUMPRODUCT(--((ISNUMBER(SEARCH("All",E$6:E$104)) + ISNUMBER(SEARCH($O16,E$6:E$104)) + ISNUMBER(SEARCH($Q16,E$6:E$104)) +  ISNUMBER(SEARCH($P16,E$6:E$104))) &gt; 0),$C$6:$C$104))),$S$26*$P$25*MAX(0,$R16-1*IF(OR(ISNUMBER(SEARCH($O16,E$5)), ISNUMBER(SEARCH($Q16,E$5)), (ISNUMBER(SEARCH("All",E$5)))),$R16,SUMPRODUCT(--((ISNUMBER(SEARCH("All",E$6:E$104)) + ISNUMBER(SEARCH($O16,E$6:E$104)) + ISNUMBER(SEARCH($Q16,E$6:E$104)) +  ISNUMBER(SEARCH($P16,E$6:E$104))) &gt; 0),$C$6:$C$104))))</f>
        <v>6.4</v>
      </c>
      <c r="W16" s="1">
        <f t="array" ref="W16">IF($S16,$P$25*MAX(0,$R16-1*IF(OR(ISNUMBER(SEARCH($O16,F$5)), ISNUMBER(SEARCH($Q16,F$5)), (ISNUMBER(SEARCH("All",F$5)))),$R16,SUMPRODUCT(--((ISNUMBER(SEARCH("All",F$6:F$104)) + ISNUMBER(SEARCH($O16,F$6:F$104)) + ISNUMBER(SEARCH($Q16,F$6:F$104)) +  ISNUMBER(SEARCH($P16,F$6:F$104))) &gt; 0),$C$6:$C$104))),$S$26*$P$25*MAX(0,$R16-1*IF(OR(ISNUMBER(SEARCH($O16,F$5)), ISNUMBER(SEARCH($Q16,F$5)), (ISNUMBER(SEARCH("All",F$5)))),$R16,SUMPRODUCT(--((ISNUMBER(SEARCH("All",F$6:F$104)) + ISNUMBER(SEARCH($O16,F$6:F$104)) + ISNUMBER(SEARCH($Q16,F$6:F$104)) +  ISNUMBER(SEARCH($P16,F$6:F$104))) &gt; 0),$C$6:$C$104))))</f>
        <v>6.4</v>
      </c>
      <c r="X16" s="1">
        <f t="array" ref="X16">IF($S16,$P$25*MAX(0,$R16-1*IF(OR(ISNUMBER(SEARCH($O16,G$5)), ISNUMBER(SEARCH($Q16,G$5)), (ISNUMBER(SEARCH("All",G$5)))),$R16,SUMPRODUCT(--((ISNUMBER(SEARCH("All",G$6:G$104)) + ISNUMBER(SEARCH($O16,G$6:G$104)) + ISNUMBER(SEARCH($Q16,G$6:G$104)) +  ISNUMBER(SEARCH($P16,G$6:G$104))) &gt; 0),$C$6:$C$104))),$S$26*$P$25*MAX(0,$R16-1*IF(OR(ISNUMBER(SEARCH($O16,G$5)), ISNUMBER(SEARCH($Q16,G$5)), (ISNUMBER(SEARCH("All",G$5)))),$R16,SUMPRODUCT(--((ISNUMBER(SEARCH("All",G$6:G$104)) + ISNUMBER(SEARCH($O16,G$6:G$104)) + ISNUMBER(SEARCH($Q16,G$6:G$104)) +  ISNUMBER(SEARCH($P16,G$6:G$104))) &gt; 0),$C$6:$C$104))))</f>
        <v>6.4</v>
      </c>
      <c r="Y16" s="1">
        <f t="array" ref="Y16">IF($S16,$P$25*MAX(0,$R16-1*IF(OR(ISNUMBER(SEARCH($O16,H$5)), ISNUMBER(SEARCH($Q16,H$5)), (ISNUMBER(SEARCH("All",H$5)))),$R16,SUMPRODUCT(--((ISNUMBER(SEARCH("All",H$6:H$104)) + ISNUMBER(SEARCH($O16,H$6:H$104)) + ISNUMBER(SEARCH($Q16,H$6:H$104)) +  ISNUMBER(SEARCH($P16,H$6:H$104))) &gt; 0),$C$6:$C$104))),$S$26*$P$25*MAX(0,$R16-1*IF(OR(ISNUMBER(SEARCH($O16,H$5)), ISNUMBER(SEARCH($Q16,H$5)), (ISNUMBER(SEARCH("All",H$5)))),$R16,SUMPRODUCT(--((ISNUMBER(SEARCH("All",H$6:H$104)) + ISNUMBER(SEARCH($O16,H$6:H$104)) + ISNUMBER(SEARCH($Q16,H$6:H$104)) +  ISNUMBER(SEARCH($P16,H$6:H$104))) &gt; 0),$C$6:$C$104))))</f>
        <v>6.4</v>
      </c>
      <c r="Z16" s="1">
        <f t="array" ref="Z16">IF($S16,$P$25*MAX(0,$R16-1*IF(OR(ISNUMBER(SEARCH($O16,I$5)), ISNUMBER(SEARCH($Q16,I$5)), (ISNUMBER(SEARCH("All",I$5)))),$R16,SUMPRODUCT(--((ISNUMBER(SEARCH("All",I$6:I$104)) + ISNUMBER(SEARCH($O16,I$6:I$104)) + ISNUMBER(SEARCH($Q16,I$6:I$104)) +  ISNUMBER(SEARCH($P16,I$6:I$104))) &gt; 0),$C$6:$C$104))),$S$26*$P$25*MAX(0,$R16-1*IF(OR(ISNUMBER(SEARCH($O16,I$5)), ISNUMBER(SEARCH($Q16,I$5)), (ISNUMBER(SEARCH("All",I$5)))),$R16,SUMPRODUCT(--((ISNUMBER(SEARCH("All",I$6:I$104)) + ISNUMBER(SEARCH($O16,I$6:I$104)) + ISNUMBER(SEARCH($Q16,I$6:I$104)) +  ISNUMBER(SEARCH($P16,I$6:I$104))) &gt; 0),$C$6:$C$104))))</f>
        <v>6.4</v>
      </c>
      <c r="AA16" s="1">
        <f t="array" ref="AA16">IF($S16,$P$25*MAX(0,$R16-1*IF(OR(ISNUMBER(SEARCH($O16,J$5)), ISNUMBER(SEARCH($Q16,J$5)), (ISNUMBER(SEARCH("All",J$5)))),$R16,SUMPRODUCT(--((ISNUMBER(SEARCH("All",J$6:J$104)) + ISNUMBER(SEARCH($O16,J$6:J$104)) + ISNUMBER(SEARCH($Q16,J$6:J$104)) +  ISNUMBER(SEARCH($P16,J$6:J$104))) &gt; 0),$C$6:$C$104))),$S$26*$P$25*MAX(0,$R16-1*IF(OR(ISNUMBER(SEARCH($O16,J$5)), ISNUMBER(SEARCH($Q16,J$5)), (ISNUMBER(SEARCH("All",J$5)))),$R16,SUMPRODUCT(--((ISNUMBER(SEARCH("All",J$6:J$104)) + ISNUMBER(SEARCH($O16,J$6:J$104)) + ISNUMBER(SEARCH($Q16,J$6:J$104)) +  ISNUMBER(SEARCH($P16,J$6:J$104))) &gt; 0),$C$6:$C$104))))</f>
        <v>6.4</v>
      </c>
      <c r="AB16" s="1">
        <f t="array" ref="AB16">IF($S16,$P$25*MAX(0,$R16-1*IF(OR(ISNUMBER(SEARCH($O16,K$5)), ISNUMBER(SEARCH($Q16,K$5)), (ISNUMBER(SEARCH("All",K$5)))),$R16,SUMPRODUCT(--((ISNUMBER(SEARCH("All",K$6:K$104)) + ISNUMBER(SEARCH($O16,K$6:K$104)) + ISNUMBER(SEARCH($Q16,K$6:K$104)) +  ISNUMBER(SEARCH($P16,K$6:K$104))) &gt; 0),$C$6:$C$104))),$S$26*$P$25*MAX(0,$R16-1*IF(OR(ISNUMBER(SEARCH($O16,K$5)), ISNUMBER(SEARCH($Q16,K$5)), (ISNUMBER(SEARCH("All",K$5)))),$R16,SUMPRODUCT(--((ISNUMBER(SEARCH("All",K$6:K$104)) + ISNUMBER(SEARCH($O16,K$6:K$104)) + ISNUMBER(SEARCH($Q16,K$6:K$104)) +  ISNUMBER(SEARCH($P16,K$6:K$104))) &gt; 0),$C$6:$C$104))))</f>
        <v>6.4</v>
      </c>
      <c r="AC16" s="1">
        <f t="array" ref="AC16">IF($S16,$P$25*MAX(0,$R16-1*IF(OR(ISNUMBER(SEARCH($O16,L$5)), ISNUMBER(SEARCH($Q16,L$5)), (ISNUMBER(SEARCH("All",L$5)))),$R16,SUMPRODUCT(--((ISNUMBER(SEARCH("All",L$6:L$104)) + ISNUMBER(SEARCH($O16,L$6:L$104)) + ISNUMBER(SEARCH($Q16,L$6:L$104)) +  ISNUMBER(SEARCH($P16,L$6:L$104))) &gt; 0),$C$6:$C$104))),$S$26*$P$25*MAX(0,$R16-1*IF(OR(ISNUMBER(SEARCH($O16,L$5)), ISNUMBER(SEARCH($Q16,L$5)), (ISNUMBER(SEARCH("All",L$5)))),$R16,SUMPRODUCT(--((ISNUMBER(SEARCH("All",L$6:L$104)) + ISNUMBER(SEARCH($O16,L$6:L$104)) + ISNUMBER(SEARCH($Q16,L$6:L$104)) +  ISNUMBER(SEARCH($P16,L$6:L$104))) &gt; 0),$C$6:$C$104))))</f>
        <v>6.4</v>
      </c>
      <c r="AD16" s="1">
        <f t="array" ref="AD16">IF($S16,$P$25*MAX(0,$R16-1*IF(OR(ISNUMBER(SEARCH($O16,M$5)), ISNUMBER(SEARCH($Q16,M$5)), (ISNUMBER(SEARCH("All",M$5)))),$R16,SUMPRODUCT(--((ISNUMBER(SEARCH("All",M$6:M$104)) + ISNUMBER(SEARCH($O16,M$6:M$104)) + ISNUMBER(SEARCH($Q16,M$6:M$104)) +  ISNUMBER(SEARCH($P16,M$6:M$104))) &gt; 0),$C$6:$C$104))),$S$26*$P$25*MAX(0,$R16-1*IF(OR(ISNUMBER(SEARCH($O16,M$5)), ISNUMBER(SEARCH($Q16,M$5)), (ISNUMBER(SEARCH("All",M$5)))),$R16,SUMPRODUCT(--((ISNUMBER(SEARCH("All",M$6:M$104)) + ISNUMBER(SEARCH($O16,M$6:M$104)) + ISNUMBER(SEARCH($Q16,M$6:M$104)) +  ISNUMBER(SEARCH($P16,M$6:M$104))) &gt; 0),$C$6:$C$104))))</f>
        <v>6.4</v>
      </c>
      <c r="AE16" s="6"/>
      <c r="AF16" s="6">
        <f t="shared" si="6"/>
        <v>64</v>
      </c>
      <c r="AG16" s="6"/>
      <c r="AH16" s="6"/>
      <c r="AI16" s="6"/>
      <c r="AV16" s="6"/>
      <c r="AW16" s="6"/>
      <c r="AX16" s="6"/>
      <c r="AY16" s="6"/>
      <c r="AZ16" s="6"/>
      <c r="BA16" s="6"/>
      <c r="BB16" s="6"/>
      <c r="BO16" s="6"/>
    </row>
    <row r="17">
      <c r="A17" s="7"/>
      <c r="B17" s="40"/>
      <c r="C17" s="6">
        <v>0.5</v>
      </c>
      <c r="D17" s="6"/>
      <c r="E17" s="6"/>
      <c r="F17" s="6"/>
      <c r="G17" s="6"/>
      <c r="H17" s="6"/>
      <c r="I17" s="6"/>
      <c r="J17" s="6"/>
      <c r="K17" s="6"/>
      <c r="L17" s="6"/>
      <c r="M17" s="42"/>
      <c r="N17" s="6"/>
      <c r="P17" s="1" t="s">
        <v>58</v>
      </c>
      <c r="Q17" s="1" t="s">
        <v>59</v>
      </c>
      <c r="R17" s="1">
        <v>8.0</v>
      </c>
      <c r="S17" s="26" t="b">
        <v>1</v>
      </c>
      <c r="T17" s="27">
        <f t="shared" si="5"/>
        <v>6.4</v>
      </c>
      <c r="U17" s="1">
        <f t="array" ref="U17">IF($S17,$P$25*MAX(0,$R17-1*IF(OR(ISNUMBER(SEARCH($O17,D$5)), ISNUMBER(SEARCH($Q17,D$5)), (ISNUMBER(SEARCH("All",D$5)))),$R17,SUMPRODUCT(--((ISNUMBER(SEARCH("All",D$6:D$104)) + ISNUMBER(SEARCH($O17,D$6:D$104)) + ISNUMBER(SEARCH($Q17,D$6:D$104)) +  ISNUMBER(SEARCH($P17,D$6:D$104))) &gt; 0),$C$6:$C$104))),$S$26*$P$25*MAX(0,$R17-1*IF(OR(ISNUMBER(SEARCH($O17,D$5)), ISNUMBER(SEARCH($Q17,D$5)), (ISNUMBER(SEARCH("All",D$5)))),$R17,SUMPRODUCT(--((ISNUMBER(SEARCH("All",D$6:D$104)) + ISNUMBER(SEARCH($O17,D$6:D$104)) + ISNUMBER(SEARCH($Q17,D$6:D$104)) +  ISNUMBER(SEARCH($P17,D$6:D$104))) &gt; 0),$C$6:$C$104))))</f>
        <v>6.4</v>
      </c>
      <c r="V17" s="1">
        <f t="array" ref="V17">IF($S17,$P$25*MAX(0,$R17-1*IF(OR(ISNUMBER(SEARCH($O17,E$5)), ISNUMBER(SEARCH($Q17,E$5)), (ISNUMBER(SEARCH("All",E$5)))),$R17,SUMPRODUCT(--((ISNUMBER(SEARCH("All",E$6:E$104)) + ISNUMBER(SEARCH($O17,E$6:E$104)) + ISNUMBER(SEARCH($Q17,E$6:E$104)) +  ISNUMBER(SEARCH($P17,E$6:E$104))) &gt; 0),$C$6:$C$104))),$S$26*$P$25*MAX(0,$R17-1*IF(OR(ISNUMBER(SEARCH($O17,E$5)), ISNUMBER(SEARCH($Q17,E$5)), (ISNUMBER(SEARCH("All",E$5)))),$R17,SUMPRODUCT(--((ISNUMBER(SEARCH("All",E$6:E$104)) + ISNUMBER(SEARCH($O17,E$6:E$104)) + ISNUMBER(SEARCH($Q17,E$6:E$104)) +  ISNUMBER(SEARCH($P17,E$6:E$104))) &gt; 0),$C$6:$C$104))))</f>
        <v>6.4</v>
      </c>
      <c r="W17" s="1">
        <f t="array" ref="W17">IF($S17,$P$25*MAX(0,$R17-1*IF(OR(ISNUMBER(SEARCH($O17,F$5)), ISNUMBER(SEARCH($Q17,F$5)), (ISNUMBER(SEARCH("All",F$5)))),$R17,SUMPRODUCT(--((ISNUMBER(SEARCH("All",F$6:F$104)) + ISNUMBER(SEARCH($O17,F$6:F$104)) + ISNUMBER(SEARCH($Q17,F$6:F$104)) +  ISNUMBER(SEARCH($P17,F$6:F$104))) &gt; 0),$C$6:$C$104))),$S$26*$P$25*MAX(0,$R17-1*IF(OR(ISNUMBER(SEARCH($O17,F$5)), ISNUMBER(SEARCH($Q17,F$5)), (ISNUMBER(SEARCH("All",F$5)))),$R17,SUMPRODUCT(--((ISNUMBER(SEARCH("All",F$6:F$104)) + ISNUMBER(SEARCH($O17,F$6:F$104)) + ISNUMBER(SEARCH($Q17,F$6:F$104)) +  ISNUMBER(SEARCH($P17,F$6:F$104))) &gt; 0),$C$6:$C$104))))</f>
        <v>6.4</v>
      </c>
      <c r="X17" s="1">
        <f t="array" ref="X17">IF($S17,$P$25*MAX(0,$R17-1*IF(OR(ISNUMBER(SEARCH($O17,G$5)), ISNUMBER(SEARCH($Q17,G$5)), (ISNUMBER(SEARCH("All",G$5)))),$R17,SUMPRODUCT(--((ISNUMBER(SEARCH("All",G$6:G$104)) + ISNUMBER(SEARCH($O17,G$6:G$104)) + ISNUMBER(SEARCH($Q17,G$6:G$104)) +  ISNUMBER(SEARCH($P17,G$6:G$104))) &gt; 0),$C$6:$C$104))),$S$26*$P$25*MAX(0,$R17-1*IF(OR(ISNUMBER(SEARCH($O17,G$5)), ISNUMBER(SEARCH($Q17,G$5)), (ISNUMBER(SEARCH("All",G$5)))),$R17,SUMPRODUCT(--((ISNUMBER(SEARCH("All",G$6:G$104)) + ISNUMBER(SEARCH($O17,G$6:G$104)) + ISNUMBER(SEARCH($Q17,G$6:G$104)) +  ISNUMBER(SEARCH($P17,G$6:G$104))) &gt; 0),$C$6:$C$104))))</f>
        <v>6.4</v>
      </c>
      <c r="Y17" s="1">
        <f t="array" ref="Y17">IF($S17,$P$25*MAX(0,$R17-1*IF(OR(ISNUMBER(SEARCH($O17,H$5)), ISNUMBER(SEARCH($Q17,H$5)), (ISNUMBER(SEARCH("All",H$5)))),$R17,SUMPRODUCT(--((ISNUMBER(SEARCH("All",H$6:H$104)) + ISNUMBER(SEARCH($O17,H$6:H$104)) + ISNUMBER(SEARCH($Q17,H$6:H$104)) +  ISNUMBER(SEARCH($P17,H$6:H$104))) &gt; 0),$C$6:$C$104))),$S$26*$P$25*MAX(0,$R17-1*IF(OR(ISNUMBER(SEARCH($O17,H$5)), ISNUMBER(SEARCH($Q17,H$5)), (ISNUMBER(SEARCH("All",H$5)))),$R17,SUMPRODUCT(--((ISNUMBER(SEARCH("All",H$6:H$104)) + ISNUMBER(SEARCH($O17,H$6:H$104)) + ISNUMBER(SEARCH($Q17,H$6:H$104)) +  ISNUMBER(SEARCH($P17,H$6:H$104))) &gt; 0),$C$6:$C$104))))</f>
        <v>6.4</v>
      </c>
      <c r="Z17" s="1">
        <f t="array" ref="Z17">IF($S17,$P$25*MAX(0,$R17-1*IF(OR(ISNUMBER(SEARCH($O17,I$5)), ISNUMBER(SEARCH($Q17,I$5)), (ISNUMBER(SEARCH("All",I$5)))),$R17,SUMPRODUCT(--((ISNUMBER(SEARCH("All",I$6:I$104)) + ISNUMBER(SEARCH($O17,I$6:I$104)) + ISNUMBER(SEARCH($Q17,I$6:I$104)) +  ISNUMBER(SEARCH($P17,I$6:I$104))) &gt; 0),$C$6:$C$104))),$S$26*$P$25*MAX(0,$R17-1*IF(OR(ISNUMBER(SEARCH($O17,I$5)), ISNUMBER(SEARCH($Q17,I$5)), (ISNUMBER(SEARCH("All",I$5)))),$R17,SUMPRODUCT(--((ISNUMBER(SEARCH("All",I$6:I$104)) + ISNUMBER(SEARCH($O17,I$6:I$104)) + ISNUMBER(SEARCH($Q17,I$6:I$104)) +  ISNUMBER(SEARCH($P17,I$6:I$104))) &gt; 0),$C$6:$C$104))))</f>
        <v>6.4</v>
      </c>
      <c r="AA17" s="1">
        <f t="array" ref="AA17">IF($S17,$P$25*MAX(0,$R17-1*IF(OR(ISNUMBER(SEARCH($O17,J$5)), ISNUMBER(SEARCH($Q17,J$5)), (ISNUMBER(SEARCH("All",J$5)))),$R17,SUMPRODUCT(--((ISNUMBER(SEARCH("All",J$6:J$104)) + ISNUMBER(SEARCH($O17,J$6:J$104)) + ISNUMBER(SEARCH($Q17,J$6:J$104)) +  ISNUMBER(SEARCH($P17,J$6:J$104))) &gt; 0),$C$6:$C$104))),$S$26*$P$25*MAX(0,$R17-1*IF(OR(ISNUMBER(SEARCH($O17,J$5)), ISNUMBER(SEARCH($Q17,J$5)), (ISNUMBER(SEARCH("All",J$5)))),$R17,SUMPRODUCT(--((ISNUMBER(SEARCH("All",J$6:J$104)) + ISNUMBER(SEARCH($O17,J$6:J$104)) + ISNUMBER(SEARCH($Q17,J$6:J$104)) +  ISNUMBER(SEARCH($P17,J$6:J$104))) &gt; 0),$C$6:$C$104))))</f>
        <v>6.4</v>
      </c>
      <c r="AB17" s="1">
        <f t="array" ref="AB17">IF($S17,$P$25*MAX(0,$R17-1*IF(OR(ISNUMBER(SEARCH($O17,K$5)), ISNUMBER(SEARCH($Q17,K$5)), (ISNUMBER(SEARCH("All",K$5)))),$R17,SUMPRODUCT(--((ISNUMBER(SEARCH("All",K$6:K$104)) + ISNUMBER(SEARCH($O17,K$6:K$104)) + ISNUMBER(SEARCH($Q17,K$6:K$104)) +  ISNUMBER(SEARCH($P17,K$6:K$104))) &gt; 0),$C$6:$C$104))),$S$26*$P$25*MAX(0,$R17-1*IF(OR(ISNUMBER(SEARCH($O17,K$5)), ISNUMBER(SEARCH($Q17,K$5)), (ISNUMBER(SEARCH("All",K$5)))),$R17,SUMPRODUCT(--((ISNUMBER(SEARCH("All",K$6:K$104)) + ISNUMBER(SEARCH($O17,K$6:K$104)) + ISNUMBER(SEARCH($Q17,K$6:K$104)) +  ISNUMBER(SEARCH($P17,K$6:K$104))) &gt; 0),$C$6:$C$104))))</f>
        <v>6.4</v>
      </c>
      <c r="AC17" s="1">
        <f t="array" ref="AC17">IF($S17,$P$25*MAX(0,$R17-1*IF(OR(ISNUMBER(SEARCH($O17,L$5)), ISNUMBER(SEARCH($Q17,L$5)), (ISNUMBER(SEARCH("All",L$5)))),$R17,SUMPRODUCT(--((ISNUMBER(SEARCH("All",L$6:L$104)) + ISNUMBER(SEARCH($O17,L$6:L$104)) + ISNUMBER(SEARCH($Q17,L$6:L$104)) +  ISNUMBER(SEARCH($P17,L$6:L$104))) &gt; 0),$C$6:$C$104))),$S$26*$P$25*MAX(0,$R17-1*IF(OR(ISNUMBER(SEARCH($O17,L$5)), ISNUMBER(SEARCH($Q17,L$5)), (ISNUMBER(SEARCH("All",L$5)))),$R17,SUMPRODUCT(--((ISNUMBER(SEARCH("All",L$6:L$104)) + ISNUMBER(SEARCH($O17,L$6:L$104)) + ISNUMBER(SEARCH($Q17,L$6:L$104)) +  ISNUMBER(SEARCH($P17,L$6:L$104))) &gt; 0),$C$6:$C$104))))</f>
        <v>6.4</v>
      </c>
      <c r="AD17" s="1">
        <f t="array" ref="AD17">IF($S17,$P$25*MAX(0,$R17-1*IF(OR(ISNUMBER(SEARCH($O17,M$5)), ISNUMBER(SEARCH($Q17,M$5)), (ISNUMBER(SEARCH("All",M$5)))),$R17,SUMPRODUCT(--((ISNUMBER(SEARCH("All",M$6:M$104)) + ISNUMBER(SEARCH($O17,M$6:M$104)) + ISNUMBER(SEARCH($Q17,M$6:M$104)) +  ISNUMBER(SEARCH($P17,M$6:M$104))) &gt; 0),$C$6:$C$104))),$S$26*$P$25*MAX(0,$R17-1*IF(OR(ISNUMBER(SEARCH($O17,M$5)), ISNUMBER(SEARCH($Q17,M$5)), (ISNUMBER(SEARCH("All",M$5)))),$R17,SUMPRODUCT(--((ISNUMBER(SEARCH("All",M$6:M$104)) + ISNUMBER(SEARCH($O17,M$6:M$104)) + ISNUMBER(SEARCH($Q17,M$6:M$104)) +  ISNUMBER(SEARCH($P17,M$6:M$104))) &gt; 0),$C$6:$C$104))))</f>
        <v>6.4</v>
      </c>
      <c r="AE17" s="6"/>
      <c r="AF17" s="6">
        <f t="shared" si="6"/>
        <v>64</v>
      </c>
      <c r="AG17" s="6"/>
      <c r="AH17" s="6"/>
      <c r="AI17" s="6"/>
      <c r="AV17" s="6"/>
      <c r="AW17" s="6"/>
      <c r="AX17" s="6"/>
      <c r="AY17" s="6"/>
      <c r="AZ17" s="6"/>
      <c r="BA17" s="6"/>
      <c r="BB17" s="6"/>
      <c r="BO17" s="6"/>
    </row>
    <row r="18">
      <c r="A18" s="7"/>
      <c r="B18" s="40"/>
      <c r="C18" s="6">
        <v>0.5</v>
      </c>
      <c r="D18" s="6"/>
      <c r="E18" s="6"/>
      <c r="F18" s="6"/>
      <c r="G18" s="6"/>
      <c r="H18" s="6"/>
      <c r="I18" s="6"/>
      <c r="J18" s="6"/>
      <c r="K18" s="6"/>
      <c r="L18" s="6"/>
      <c r="M18" s="42"/>
      <c r="N18" s="6"/>
      <c r="P18" s="1" t="s">
        <v>58</v>
      </c>
      <c r="Q18" s="1" t="s">
        <v>59</v>
      </c>
      <c r="R18" s="1">
        <v>8.0</v>
      </c>
      <c r="S18" s="26" t="b">
        <v>1</v>
      </c>
      <c r="T18" s="27">
        <f t="shared" si="5"/>
        <v>6.4</v>
      </c>
      <c r="U18" s="1">
        <f t="array" ref="U18">IF($S18,$P$25*MAX(0,$R18-1*IF(OR(ISNUMBER(SEARCH($O18,D$5)), ISNUMBER(SEARCH($Q18,D$5)), (ISNUMBER(SEARCH("All",D$5)))),$R18,SUMPRODUCT(--((ISNUMBER(SEARCH("All",D$6:D$104)) + ISNUMBER(SEARCH($O18,D$6:D$104)) + ISNUMBER(SEARCH($Q18,D$6:D$104)) +  ISNUMBER(SEARCH($P18,D$6:D$104))) &gt; 0),$C$6:$C$104))),$S$26*$P$25*MAX(0,$R18-1*IF(OR(ISNUMBER(SEARCH($O18,D$5)), ISNUMBER(SEARCH($Q18,D$5)), (ISNUMBER(SEARCH("All",D$5)))),$R18,SUMPRODUCT(--((ISNUMBER(SEARCH("All",D$6:D$104)) + ISNUMBER(SEARCH($O18,D$6:D$104)) + ISNUMBER(SEARCH($Q18,D$6:D$104)) +  ISNUMBER(SEARCH($P18,D$6:D$104))) &gt; 0),$C$6:$C$104))))</f>
        <v>6.4</v>
      </c>
      <c r="V18" s="1">
        <f t="array" ref="V18">IF($S18,$P$25*MAX(0,$R18-1*IF(OR(ISNUMBER(SEARCH($O18,E$5)), ISNUMBER(SEARCH($Q18,E$5)), (ISNUMBER(SEARCH("All",E$5)))),$R18,SUMPRODUCT(--((ISNUMBER(SEARCH("All",E$6:E$104)) + ISNUMBER(SEARCH($O18,E$6:E$104)) + ISNUMBER(SEARCH($Q18,E$6:E$104)) +  ISNUMBER(SEARCH($P18,E$6:E$104))) &gt; 0),$C$6:$C$104))),$S$26*$P$25*MAX(0,$R18-1*IF(OR(ISNUMBER(SEARCH($O18,E$5)), ISNUMBER(SEARCH($Q18,E$5)), (ISNUMBER(SEARCH("All",E$5)))),$R18,SUMPRODUCT(--((ISNUMBER(SEARCH("All",E$6:E$104)) + ISNUMBER(SEARCH($O18,E$6:E$104)) + ISNUMBER(SEARCH($Q18,E$6:E$104)) +  ISNUMBER(SEARCH($P18,E$6:E$104))) &gt; 0),$C$6:$C$104))))</f>
        <v>6.4</v>
      </c>
      <c r="W18" s="1">
        <f t="array" ref="W18">IF($S18,$P$25*MAX(0,$R18-1*IF(OR(ISNUMBER(SEARCH($O18,F$5)), ISNUMBER(SEARCH($Q18,F$5)), (ISNUMBER(SEARCH("All",F$5)))),$R18,SUMPRODUCT(--((ISNUMBER(SEARCH("All",F$6:F$104)) + ISNUMBER(SEARCH($O18,F$6:F$104)) + ISNUMBER(SEARCH($Q18,F$6:F$104)) +  ISNUMBER(SEARCH($P18,F$6:F$104))) &gt; 0),$C$6:$C$104))),$S$26*$P$25*MAX(0,$R18-1*IF(OR(ISNUMBER(SEARCH($O18,F$5)), ISNUMBER(SEARCH($Q18,F$5)), (ISNUMBER(SEARCH("All",F$5)))),$R18,SUMPRODUCT(--((ISNUMBER(SEARCH("All",F$6:F$104)) + ISNUMBER(SEARCH($O18,F$6:F$104)) + ISNUMBER(SEARCH($Q18,F$6:F$104)) +  ISNUMBER(SEARCH($P18,F$6:F$104))) &gt; 0),$C$6:$C$104))))</f>
        <v>6.4</v>
      </c>
      <c r="X18" s="1">
        <f t="array" ref="X18">IF($S18,$P$25*MAX(0,$R18-1*IF(OR(ISNUMBER(SEARCH($O18,G$5)), ISNUMBER(SEARCH($Q18,G$5)), (ISNUMBER(SEARCH("All",G$5)))),$R18,SUMPRODUCT(--((ISNUMBER(SEARCH("All",G$6:G$104)) + ISNUMBER(SEARCH($O18,G$6:G$104)) + ISNUMBER(SEARCH($Q18,G$6:G$104)) +  ISNUMBER(SEARCH($P18,G$6:G$104))) &gt; 0),$C$6:$C$104))),$S$26*$P$25*MAX(0,$R18-1*IF(OR(ISNUMBER(SEARCH($O18,G$5)), ISNUMBER(SEARCH($Q18,G$5)), (ISNUMBER(SEARCH("All",G$5)))),$R18,SUMPRODUCT(--((ISNUMBER(SEARCH("All",G$6:G$104)) + ISNUMBER(SEARCH($O18,G$6:G$104)) + ISNUMBER(SEARCH($Q18,G$6:G$104)) +  ISNUMBER(SEARCH($P18,G$6:G$104))) &gt; 0),$C$6:$C$104))))</f>
        <v>6.4</v>
      </c>
      <c r="Y18" s="1">
        <f t="array" ref="Y18">IF($S18,$P$25*MAX(0,$R18-1*IF(OR(ISNUMBER(SEARCH($O18,H$5)), ISNUMBER(SEARCH($Q18,H$5)), (ISNUMBER(SEARCH("All",H$5)))),$R18,SUMPRODUCT(--((ISNUMBER(SEARCH("All",H$6:H$104)) + ISNUMBER(SEARCH($O18,H$6:H$104)) + ISNUMBER(SEARCH($Q18,H$6:H$104)) +  ISNUMBER(SEARCH($P18,H$6:H$104))) &gt; 0),$C$6:$C$104))),$S$26*$P$25*MAX(0,$R18-1*IF(OR(ISNUMBER(SEARCH($O18,H$5)), ISNUMBER(SEARCH($Q18,H$5)), (ISNUMBER(SEARCH("All",H$5)))),$R18,SUMPRODUCT(--((ISNUMBER(SEARCH("All",H$6:H$104)) + ISNUMBER(SEARCH($O18,H$6:H$104)) + ISNUMBER(SEARCH($Q18,H$6:H$104)) +  ISNUMBER(SEARCH($P18,H$6:H$104))) &gt; 0),$C$6:$C$104))))</f>
        <v>6.4</v>
      </c>
      <c r="Z18" s="1">
        <f t="array" ref="Z18">IF($S18,$P$25*MAX(0,$R18-1*IF(OR(ISNUMBER(SEARCH($O18,I$5)), ISNUMBER(SEARCH($Q18,I$5)), (ISNUMBER(SEARCH("All",I$5)))),$R18,SUMPRODUCT(--((ISNUMBER(SEARCH("All",I$6:I$104)) + ISNUMBER(SEARCH($O18,I$6:I$104)) + ISNUMBER(SEARCH($Q18,I$6:I$104)) +  ISNUMBER(SEARCH($P18,I$6:I$104))) &gt; 0),$C$6:$C$104))),$S$26*$P$25*MAX(0,$R18-1*IF(OR(ISNUMBER(SEARCH($O18,I$5)), ISNUMBER(SEARCH($Q18,I$5)), (ISNUMBER(SEARCH("All",I$5)))),$R18,SUMPRODUCT(--((ISNUMBER(SEARCH("All",I$6:I$104)) + ISNUMBER(SEARCH($O18,I$6:I$104)) + ISNUMBER(SEARCH($Q18,I$6:I$104)) +  ISNUMBER(SEARCH($P18,I$6:I$104))) &gt; 0),$C$6:$C$104))))</f>
        <v>6.4</v>
      </c>
      <c r="AA18" s="1">
        <f t="array" ref="AA18">IF($S18,$P$25*MAX(0,$R18-1*IF(OR(ISNUMBER(SEARCH($O18,J$5)), ISNUMBER(SEARCH($Q18,J$5)), (ISNUMBER(SEARCH("All",J$5)))),$R18,SUMPRODUCT(--((ISNUMBER(SEARCH("All",J$6:J$104)) + ISNUMBER(SEARCH($O18,J$6:J$104)) + ISNUMBER(SEARCH($Q18,J$6:J$104)) +  ISNUMBER(SEARCH($P18,J$6:J$104))) &gt; 0),$C$6:$C$104))),$S$26*$P$25*MAX(0,$R18-1*IF(OR(ISNUMBER(SEARCH($O18,J$5)), ISNUMBER(SEARCH($Q18,J$5)), (ISNUMBER(SEARCH("All",J$5)))),$R18,SUMPRODUCT(--((ISNUMBER(SEARCH("All",J$6:J$104)) + ISNUMBER(SEARCH($O18,J$6:J$104)) + ISNUMBER(SEARCH($Q18,J$6:J$104)) +  ISNUMBER(SEARCH($P18,J$6:J$104))) &gt; 0),$C$6:$C$104))))</f>
        <v>6.4</v>
      </c>
      <c r="AB18" s="1">
        <f t="array" ref="AB18">IF($S18,$P$25*MAX(0,$R18-1*IF(OR(ISNUMBER(SEARCH($O18,K$5)), ISNUMBER(SEARCH($Q18,K$5)), (ISNUMBER(SEARCH("All",K$5)))),$R18,SUMPRODUCT(--((ISNUMBER(SEARCH("All",K$6:K$104)) + ISNUMBER(SEARCH($O18,K$6:K$104)) + ISNUMBER(SEARCH($Q18,K$6:K$104)) +  ISNUMBER(SEARCH($P18,K$6:K$104))) &gt; 0),$C$6:$C$104))),$S$26*$P$25*MAX(0,$R18-1*IF(OR(ISNUMBER(SEARCH($O18,K$5)), ISNUMBER(SEARCH($Q18,K$5)), (ISNUMBER(SEARCH("All",K$5)))),$R18,SUMPRODUCT(--((ISNUMBER(SEARCH("All",K$6:K$104)) + ISNUMBER(SEARCH($O18,K$6:K$104)) + ISNUMBER(SEARCH($Q18,K$6:K$104)) +  ISNUMBER(SEARCH($P18,K$6:K$104))) &gt; 0),$C$6:$C$104))))</f>
        <v>6.4</v>
      </c>
      <c r="AC18" s="1">
        <f t="array" ref="AC18">IF($S18,$P$25*MAX(0,$R18-1*IF(OR(ISNUMBER(SEARCH($O18,L$5)), ISNUMBER(SEARCH($Q18,L$5)), (ISNUMBER(SEARCH("All",L$5)))),$R18,SUMPRODUCT(--((ISNUMBER(SEARCH("All",L$6:L$104)) + ISNUMBER(SEARCH($O18,L$6:L$104)) + ISNUMBER(SEARCH($Q18,L$6:L$104)) +  ISNUMBER(SEARCH($P18,L$6:L$104))) &gt; 0),$C$6:$C$104))),$S$26*$P$25*MAX(0,$R18-1*IF(OR(ISNUMBER(SEARCH($O18,L$5)), ISNUMBER(SEARCH($Q18,L$5)), (ISNUMBER(SEARCH("All",L$5)))),$R18,SUMPRODUCT(--((ISNUMBER(SEARCH("All",L$6:L$104)) + ISNUMBER(SEARCH($O18,L$6:L$104)) + ISNUMBER(SEARCH($Q18,L$6:L$104)) +  ISNUMBER(SEARCH($P18,L$6:L$104))) &gt; 0),$C$6:$C$104))))</f>
        <v>6.4</v>
      </c>
      <c r="AD18" s="1">
        <f t="array" ref="AD18">IF($S18,$P$25*MAX(0,$R18-1*IF(OR(ISNUMBER(SEARCH($O18,M$5)), ISNUMBER(SEARCH($Q18,M$5)), (ISNUMBER(SEARCH("All",M$5)))),$R18,SUMPRODUCT(--((ISNUMBER(SEARCH("All",M$6:M$104)) + ISNUMBER(SEARCH($O18,M$6:M$104)) + ISNUMBER(SEARCH($Q18,M$6:M$104)) +  ISNUMBER(SEARCH($P18,M$6:M$104))) &gt; 0),$C$6:$C$104))),$S$26*$P$25*MAX(0,$R18-1*IF(OR(ISNUMBER(SEARCH($O18,M$5)), ISNUMBER(SEARCH($Q18,M$5)), (ISNUMBER(SEARCH("All",M$5)))),$R18,SUMPRODUCT(--((ISNUMBER(SEARCH("All",M$6:M$104)) + ISNUMBER(SEARCH($O18,M$6:M$104)) + ISNUMBER(SEARCH($Q18,M$6:M$104)) +  ISNUMBER(SEARCH($P18,M$6:M$104))) &gt; 0),$C$6:$C$104))))</f>
        <v>6.4</v>
      </c>
      <c r="AE18" s="6"/>
      <c r="AF18" s="6">
        <f t="shared" si="6"/>
        <v>64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O18" s="6"/>
    </row>
    <row r="19">
      <c r="A19" s="7"/>
      <c r="B19" s="40"/>
      <c r="C19" s="6">
        <v>0.5</v>
      </c>
      <c r="D19" s="6"/>
      <c r="E19" s="6"/>
      <c r="F19" s="6"/>
      <c r="G19" s="6"/>
      <c r="H19" s="6"/>
      <c r="I19" s="6"/>
      <c r="J19" s="6"/>
      <c r="K19" s="6"/>
      <c r="L19" s="6"/>
      <c r="M19" s="42"/>
      <c r="N19" s="6"/>
      <c r="P19" s="1" t="s">
        <v>56</v>
      </c>
      <c r="Q19" s="1" t="s">
        <v>59</v>
      </c>
      <c r="R19" s="1">
        <v>8.0</v>
      </c>
      <c r="S19" s="26" t="b">
        <v>1</v>
      </c>
      <c r="T19" s="27">
        <f t="shared" si="5"/>
        <v>6.4</v>
      </c>
      <c r="U19" s="1">
        <f t="array" ref="U19">IF($S19,$P$25*MAX(0,$R19-1*IF(OR(ISNUMBER(SEARCH($O19,D$5)), ISNUMBER(SEARCH($Q19,D$5)), (ISNUMBER(SEARCH("All",D$5)))),$R19,SUMPRODUCT(--((ISNUMBER(SEARCH("All",D$6:D$104)) + ISNUMBER(SEARCH($O19,D$6:D$104)) + ISNUMBER(SEARCH($Q19,D$6:D$104)) +  ISNUMBER(SEARCH($P19,D$6:D$104))) &gt; 0),$C$6:$C$104))),$S$26*$P$25*MAX(0,$R19-1*IF(OR(ISNUMBER(SEARCH($O19,D$5)), ISNUMBER(SEARCH($Q19,D$5)), (ISNUMBER(SEARCH("All",D$5)))),$R19,SUMPRODUCT(--((ISNUMBER(SEARCH("All",D$6:D$104)) + ISNUMBER(SEARCH($O19,D$6:D$104)) + ISNUMBER(SEARCH($Q19,D$6:D$104)) +  ISNUMBER(SEARCH($P19,D$6:D$104))) &gt; 0),$C$6:$C$104))))</f>
        <v>6.4</v>
      </c>
      <c r="V19" s="1">
        <f t="array" ref="V19">IF($S19,$P$25*MAX(0,$R19-1*IF(OR(ISNUMBER(SEARCH($O19,E$5)), ISNUMBER(SEARCH($Q19,E$5)), (ISNUMBER(SEARCH("All",E$5)))),$R19,SUMPRODUCT(--((ISNUMBER(SEARCH("All",E$6:E$104)) + ISNUMBER(SEARCH($O19,E$6:E$104)) + ISNUMBER(SEARCH($Q19,E$6:E$104)) +  ISNUMBER(SEARCH($P19,E$6:E$104))) &gt; 0),$C$6:$C$104))),$S$26*$P$25*MAX(0,$R19-1*IF(OR(ISNUMBER(SEARCH($O19,E$5)), ISNUMBER(SEARCH($Q19,E$5)), (ISNUMBER(SEARCH("All",E$5)))),$R19,SUMPRODUCT(--((ISNUMBER(SEARCH("All",E$6:E$104)) + ISNUMBER(SEARCH($O19,E$6:E$104)) + ISNUMBER(SEARCH($Q19,E$6:E$104)) +  ISNUMBER(SEARCH($P19,E$6:E$104))) &gt; 0),$C$6:$C$104))))</f>
        <v>6.4</v>
      </c>
      <c r="W19" s="1">
        <f t="array" ref="W19">IF($S19,$P$25*MAX(0,$R19-1*IF(OR(ISNUMBER(SEARCH($O19,F$5)), ISNUMBER(SEARCH($Q19,F$5)), (ISNUMBER(SEARCH("All",F$5)))),$R19,SUMPRODUCT(--((ISNUMBER(SEARCH("All",F$6:F$104)) + ISNUMBER(SEARCH($O19,F$6:F$104)) + ISNUMBER(SEARCH($Q19,F$6:F$104)) +  ISNUMBER(SEARCH($P19,F$6:F$104))) &gt; 0),$C$6:$C$104))),$S$26*$P$25*MAX(0,$R19-1*IF(OR(ISNUMBER(SEARCH($O19,F$5)), ISNUMBER(SEARCH($Q19,F$5)), (ISNUMBER(SEARCH("All",F$5)))),$R19,SUMPRODUCT(--((ISNUMBER(SEARCH("All",F$6:F$104)) + ISNUMBER(SEARCH($O19,F$6:F$104)) + ISNUMBER(SEARCH($Q19,F$6:F$104)) +  ISNUMBER(SEARCH($P19,F$6:F$104))) &gt; 0),$C$6:$C$104))))</f>
        <v>6.4</v>
      </c>
      <c r="X19" s="1">
        <f t="array" ref="X19">IF($S19,$P$25*MAX(0,$R19-1*IF(OR(ISNUMBER(SEARCH($O19,G$5)), ISNUMBER(SEARCH($Q19,G$5)), (ISNUMBER(SEARCH("All",G$5)))),$R19,SUMPRODUCT(--((ISNUMBER(SEARCH("All",G$6:G$104)) + ISNUMBER(SEARCH($O19,G$6:G$104)) + ISNUMBER(SEARCH($Q19,G$6:G$104)) +  ISNUMBER(SEARCH($P19,G$6:G$104))) &gt; 0),$C$6:$C$104))),$S$26*$P$25*MAX(0,$R19-1*IF(OR(ISNUMBER(SEARCH($O19,G$5)), ISNUMBER(SEARCH($Q19,G$5)), (ISNUMBER(SEARCH("All",G$5)))),$R19,SUMPRODUCT(--((ISNUMBER(SEARCH("All",G$6:G$104)) + ISNUMBER(SEARCH($O19,G$6:G$104)) + ISNUMBER(SEARCH($Q19,G$6:G$104)) +  ISNUMBER(SEARCH($P19,G$6:G$104))) &gt; 0),$C$6:$C$104))))</f>
        <v>6.4</v>
      </c>
      <c r="Y19" s="1">
        <f t="array" ref="Y19">IF($S19,$P$25*MAX(0,$R19-1*IF(OR(ISNUMBER(SEARCH($O19,H$5)), ISNUMBER(SEARCH($Q19,H$5)), (ISNUMBER(SEARCH("All",H$5)))),$R19,SUMPRODUCT(--((ISNUMBER(SEARCH("All",H$6:H$104)) + ISNUMBER(SEARCH($O19,H$6:H$104)) + ISNUMBER(SEARCH($Q19,H$6:H$104)) +  ISNUMBER(SEARCH($P19,H$6:H$104))) &gt; 0),$C$6:$C$104))),$S$26*$P$25*MAX(0,$R19-1*IF(OR(ISNUMBER(SEARCH($O19,H$5)), ISNUMBER(SEARCH($Q19,H$5)), (ISNUMBER(SEARCH("All",H$5)))),$R19,SUMPRODUCT(--((ISNUMBER(SEARCH("All",H$6:H$104)) + ISNUMBER(SEARCH($O19,H$6:H$104)) + ISNUMBER(SEARCH($Q19,H$6:H$104)) +  ISNUMBER(SEARCH($P19,H$6:H$104))) &gt; 0),$C$6:$C$104))))</f>
        <v>6.4</v>
      </c>
      <c r="Z19" s="1">
        <f t="array" ref="Z19">IF($S19,$P$25*MAX(0,$R19-1*IF(OR(ISNUMBER(SEARCH($O19,I$5)), ISNUMBER(SEARCH($Q19,I$5)), (ISNUMBER(SEARCH("All",I$5)))),$R19,SUMPRODUCT(--((ISNUMBER(SEARCH("All",I$6:I$104)) + ISNUMBER(SEARCH($O19,I$6:I$104)) + ISNUMBER(SEARCH($Q19,I$6:I$104)) +  ISNUMBER(SEARCH($P19,I$6:I$104))) &gt; 0),$C$6:$C$104))),$S$26*$P$25*MAX(0,$R19-1*IF(OR(ISNUMBER(SEARCH($O19,I$5)), ISNUMBER(SEARCH($Q19,I$5)), (ISNUMBER(SEARCH("All",I$5)))),$R19,SUMPRODUCT(--((ISNUMBER(SEARCH("All",I$6:I$104)) + ISNUMBER(SEARCH($O19,I$6:I$104)) + ISNUMBER(SEARCH($Q19,I$6:I$104)) +  ISNUMBER(SEARCH($P19,I$6:I$104))) &gt; 0),$C$6:$C$104))))</f>
        <v>6.4</v>
      </c>
      <c r="AA19" s="1">
        <f t="array" ref="AA19">IF($S19,$P$25*MAX(0,$R19-1*IF(OR(ISNUMBER(SEARCH($O19,J$5)), ISNUMBER(SEARCH($Q19,J$5)), (ISNUMBER(SEARCH("All",J$5)))),$R19,SUMPRODUCT(--((ISNUMBER(SEARCH("All",J$6:J$104)) + ISNUMBER(SEARCH($O19,J$6:J$104)) + ISNUMBER(SEARCH($Q19,J$6:J$104)) +  ISNUMBER(SEARCH($P19,J$6:J$104))) &gt; 0),$C$6:$C$104))),$S$26*$P$25*MAX(0,$R19-1*IF(OR(ISNUMBER(SEARCH($O19,J$5)), ISNUMBER(SEARCH($Q19,J$5)), (ISNUMBER(SEARCH("All",J$5)))),$R19,SUMPRODUCT(--((ISNUMBER(SEARCH("All",J$6:J$104)) + ISNUMBER(SEARCH($O19,J$6:J$104)) + ISNUMBER(SEARCH($Q19,J$6:J$104)) +  ISNUMBER(SEARCH($P19,J$6:J$104))) &gt; 0),$C$6:$C$104))))</f>
        <v>6.4</v>
      </c>
      <c r="AB19" s="1">
        <f t="array" ref="AB19">IF($S19,$P$25*MAX(0,$R19-1*IF(OR(ISNUMBER(SEARCH($O19,K$5)), ISNUMBER(SEARCH($Q19,K$5)), (ISNUMBER(SEARCH("All",K$5)))),$R19,SUMPRODUCT(--((ISNUMBER(SEARCH("All",K$6:K$104)) + ISNUMBER(SEARCH($O19,K$6:K$104)) + ISNUMBER(SEARCH($Q19,K$6:K$104)) +  ISNUMBER(SEARCH($P19,K$6:K$104))) &gt; 0),$C$6:$C$104))),$S$26*$P$25*MAX(0,$R19-1*IF(OR(ISNUMBER(SEARCH($O19,K$5)), ISNUMBER(SEARCH($Q19,K$5)), (ISNUMBER(SEARCH("All",K$5)))),$R19,SUMPRODUCT(--((ISNUMBER(SEARCH("All",K$6:K$104)) + ISNUMBER(SEARCH($O19,K$6:K$104)) + ISNUMBER(SEARCH($Q19,K$6:K$104)) +  ISNUMBER(SEARCH($P19,K$6:K$104))) &gt; 0),$C$6:$C$104))))</f>
        <v>6.4</v>
      </c>
      <c r="AC19" s="1">
        <f t="array" ref="AC19">IF($S19,$P$25*MAX(0,$R19-1*IF(OR(ISNUMBER(SEARCH($O19,L$5)), ISNUMBER(SEARCH($Q19,L$5)), (ISNUMBER(SEARCH("All",L$5)))),$R19,SUMPRODUCT(--((ISNUMBER(SEARCH("All",L$6:L$104)) + ISNUMBER(SEARCH($O19,L$6:L$104)) + ISNUMBER(SEARCH($Q19,L$6:L$104)) +  ISNUMBER(SEARCH($P19,L$6:L$104))) &gt; 0),$C$6:$C$104))),$S$26*$P$25*MAX(0,$R19-1*IF(OR(ISNUMBER(SEARCH($O19,L$5)), ISNUMBER(SEARCH($Q19,L$5)), (ISNUMBER(SEARCH("All",L$5)))),$R19,SUMPRODUCT(--((ISNUMBER(SEARCH("All",L$6:L$104)) + ISNUMBER(SEARCH($O19,L$6:L$104)) + ISNUMBER(SEARCH($Q19,L$6:L$104)) +  ISNUMBER(SEARCH($P19,L$6:L$104))) &gt; 0),$C$6:$C$104))))</f>
        <v>6.4</v>
      </c>
      <c r="AD19" s="1">
        <f t="array" ref="AD19">IF($S19,$P$25*MAX(0,$R19-1*IF(OR(ISNUMBER(SEARCH($O19,M$5)), ISNUMBER(SEARCH($Q19,M$5)), (ISNUMBER(SEARCH("All",M$5)))),$R19,SUMPRODUCT(--((ISNUMBER(SEARCH("All",M$6:M$104)) + ISNUMBER(SEARCH($O19,M$6:M$104)) + ISNUMBER(SEARCH($Q19,M$6:M$104)) +  ISNUMBER(SEARCH($P19,M$6:M$104))) &gt; 0),$C$6:$C$104))),$S$26*$P$25*MAX(0,$R19-1*IF(OR(ISNUMBER(SEARCH($O19,M$5)), ISNUMBER(SEARCH($Q19,M$5)), (ISNUMBER(SEARCH("All",M$5)))),$R19,SUMPRODUCT(--((ISNUMBER(SEARCH("All",M$6:M$104)) + ISNUMBER(SEARCH($O19,M$6:M$104)) + ISNUMBER(SEARCH($Q19,M$6:M$104)) +  ISNUMBER(SEARCH($P19,M$6:M$104))) &gt; 0),$C$6:$C$104))))</f>
        <v>6.4</v>
      </c>
      <c r="AE19" s="6"/>
      <c r="AF19" s="6">
        <f t="shared" si="6"/>
        <v>64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O19" s="6"/>
    </row>
    <row r="20">
      <c r="A20" s="7"/>
      <c r="B20" s="45"/>
      <c r="C20" s="46">
        <v>0.5</v>
      </c>
      <c r="D20" s="6"/>
      <c r="E20" s="6"/>
      <c r="F20" s="6"/>
      <c r="G20" s="6"/>
      <c r="H20" s="6"/>
      <c r="I20" s="6"/>
      <c r="J20" s="6"/>
      <c r="K20" s="6"/>
      <c r="L20" s="6"/>
      <c r="M20" s="42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 ht="15.75" customHeight="1">
      <c r="A21" s="7"/>
      <c r="B21" s="40"/>
      <c r="C21" s="6">
        <v>0.5</v>
      </c>
      <c r="D21" s="6"/>
      <c r="E21" s="6"/>
      <c r="F21" s="6"/>
      <c r="G21" s="6"/>
      <c r="H21" s="6"/>
      <c r="I21" s="6"/>
      <c r="J21" s="6"/>
      <c r="K21" s="6"/>
      <c r="L21" s="6"/>
      <c r="M21" s="4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O21" s="6"/>
    </row>
    <row r="22" ht="15.75" customHeight="1">
      <c r="A22" s="6"/>
      <c r="B22" s="40"/>
      <c r="C22" s="6">
        <v>0.5</v>
      </c>
      <c r="D22" s="6"/>
      <c r="E22" s="6"/>
      <c r="F22" s="6"/>
      <c r="G22" s="6"/>
      <c r="H22" s="6"/>
      <c r="I22" s="6"/>
      <c r="J22" s="6"/>
      <c r="K22" s="6"/>
      <c r="L22" s="6"/>
      <c r="M22" s="42"/>
      <c r="N22" s="6"/>
      <c r="O22" s="7" t="s">
        <v>61</v>
      </c>
      <c r="P22" s="6"/>
      <c r="Q22" s="6"/>
      <c r="R22" s="6"/>
      <c r="S22" s="6"/>
      <c r="T22" s="6"/>
      <c r="U22" s="6">
        <f t="shared" ref="U22:AD22" si="15">SUM(U5:U19)</f>
        <v>95.2</v>
      </c>
      <c r="V22" s="6">
        <f t="shared" si="15"/>
        <v>95.2</v>
      </c>
      <c r="W22" s="6">
        <f t="shared" si="15"/>
        <v>95.2</v>
      </c>
      <c r="X22" s="6">
        <f t="shared" si="15"/>
        <v>95.2</v>
      </c>
      <c r="Y22" s="6">
        <f t="shared" si="15"/>
        <v>95.2</v>
      </c>
      <c r="Z22" s="6">
        <f t="shared" si="15"/>
        <v>95.2</v>
      </c>
      <c r="AA22" s="6">
        <f t="shared" si="15"/>
        <v>95.2</v>
      </c>
      <c r="AB22" s="6">
        <f t="shared" si="15"/>
        <v>95.2</v>
      </c>
      <c r="AC22" s="6">
        <f t="shared" si="15"/>
        <v>95.2</v>
      </c>
      <c r="AD22" s="6">
        <f t="shared" si="15"/>
        <v>95.2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O22" s="6"/>
    </row>
    <row r="23" ht="51.0" customHeight="1">
      <c r="A23" s="6"/>
      <c r="B23" s="40"/>
      <c r="C23" s="6">
        <v>0.5</v>
      </c>
      <c r="D23" s="6"/>
      <c r="E23" s="6"/>
      <c r="F23" s="6"/>
      <c r="G23" s="6"/>
      <c r="H23" s="6"/>
      <c r="I23" s="6"/>
      <c r="J23" s="6"/>
      <c r="K23" s="6"/>
      <c r="L23" s="6"/>
      <c r="M23" s="42"/>
      <c r="N23" s="6"/>
      <c r="O23" s="7" t="s">
        <v>62</v>
      </c>
      <c r="P23" s="6"/>
      <c r="Q23" s="6"/>
      <c r="R23" s="6"/>
      <c r="S23" s="6"/>
      <c r="T23" s="6"/>
      <c r="U23" s="47">
        <f t="shared" ref="U23:AD23" si="16">(U22/$AF$26)*0.72</f>
        <v>0.072</v>
      </c>
      <c r="V23" s="47">
        <f t="shared" si="16"/>
        <v>0.072</v>
      </c>
      <c r="W23" s="47">
        <f t="shared" si="16"/>
        <v>0.072</v>
      </c>
      <c r="X23" s="47">
        <f t="shared" si="16"/>
        <v>0.072</v>
      </c>
      <c r="Y23" s="47">
        <f t="shared" si="16"/>
        <v>0.072</v>
      </c>
      <c r="Z23" s="47">
        <f t="shared" si="16"/>
        <v>0.072</v>
      </c>
      <c r="AA23" s="47">
        <f t="shared" si="16"/>
        <v>0.072</v>
      </c>
      <c r="AB23" s="47">
        <f t="shared" si="16"/>
        <v>0.072</v>
      </c>
      <c r="AC23" s="47">
        <f t="shared" si="16"/>
        <v>0.072</v>
      </c>
      <c r="AD23" s="47">
        <f t="shared" si="16"/>
        <v>0.072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O23" s="6"/>
    </row>
    <row r="24" ht="15.75" customHeight="1">
      <c r="A24" s="6"/>
      <c r="B24" s="48"/>
      <c r="C24" s="49">
        <v>0.5</v>
      </c>
      <c r="D24" s="49"/>
      <c r="E24" s="50"/>
      <c r="F24" s="50"/>
      <c r="G24" s="49"/>
      <c r="H24" s="49"/>
      <c r="I24" s="49"/>
      <c r="J24" s="49"/>
      <c r="K24" s="49"/>
      <c r="L24" s="49"/>
      <c r="M24" s="51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O24" s="6"/>
    </row>
    <row r="25" ht="15.75" customHeight="1">
      <c r="A25" s="6"/>
      <c r="B25" s="7" t="s">
        <v>63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 t="s">
        <v>4</v>
      </c>
      <c r="P25" s="52">
        <v>0.8</v>
      </c>
      <c r="Q25" s="52"/>
      <c r="R25" s="6"/>
      <c r="S25" s="6" t="s">
        <v>64</v>
      </c>
      <c r="T25" s="6"/>
      <c r="U25" s="6" t="s">
        <v>65</v>
      </c>
      <c r="V25" s="25">
        <f>AF26</f>
        <v>952</v>
      </c>
      <c r="W25" s="6"/>
      <c r="X25" s="6" t="s">
        <v>66</v>
      </c>
      <c r="Y25" s="25">
        <f>SUMIF($P$5:$P$19,"Dev",$AF$5:$AF$19)+SUMIF($P$5:$P$19,"Plex",$AF$5:$AF$19)</f>
        <v>376</v>
      </c>
      <c r="Z25" s="6"/>
      <c r="AA25" s="6" t="s">
        <v>67</v>
      </c>
      <c r="AB25" s="25">
        <f>SUMIF($P$5:$P$19,"Test",$AF$5:$AF$19)</f>
        <v>576</v>
      </c>
      <c r="AC25" s="6"/>
      <c r="AD25" s="6"/>
      <c r="AE25" s="6"/>
      <c r="AF25" s="25">
        <f>SUM(AF5:AF23)</f>
        <v>952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O25" s="6"/>
    </row>
    <row r="26" ht="15.75" customHeight="1">
      <c r="A26" s="6"/>
      <c r="B26" s="6" t="s">
        <v>68</v>
      </c>
      <c r="C26" s="6">
        <v>4.0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 t="s">
        <v>69</v>
      </c>
      <c r="P26" s="6">
        <f>FLOOR((V25/40),1)</f>
        <v>23</v>
      </c>
      <c r="Q26" s="6"/>
      <c r="R26" s="6"/>
      <c r="S26" s="52">
        <v>0.5</v>
      </c>
      <c r="T26" s="6"/>
      <c r="U26" s="6"/>
      <c r="V26" s="6"/>
      <c r="W26" s="6"/>
      <c r="X26" s="6" t="s">
        <v>25</v>
      </c>
      <c r="Y26" s="6">
        <f>FLOOR((Y25/40),1)</f>
        <v>9</v>
      </c>
      <c r="Z26" s="6"/>
      <c r="AA26" s="6" t="s">
        <v>25</v>
      </c>
      <c r="AB26" s="6">
        <f>FLOOR((AB25/40),1)</f>
        <v>14</v>
      </c>
      <c r="AC26" s="6"/>
      <c r="AD26" s="6"/>
      <c r="AE26" s="6"/>
      <c r="AF26" s="25">
        <f>SUM(U22:AD22)</f>
        <v>952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 ht="15.75" customHeight="1">
      <c r="A27" s="6"/>
      <c r="B27" s="6" t="s">
        <v>70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 t="s">
        <v>26</v>
      </c>
      <c r="P27" s="6">
        <f>FLOOR((V25-(P26*40))/8,1)</f>
        <v>4</v>
      </c>
      <c r="Q27" s="6"/>
      <c r="R27" s="6"/>
      <c r="S27" s="6"/>
      <c r="T27" s="6"/>
      <c r="U27" s="6"/>
      <c r="V27" s="6"/>
      <c r="W27" s="6"/>
      <c r="X27" s="6" t="s">
        <v>26</v>
      </c>
      <c r="Y27" s="6">
        <f>FLOOR((Y25-(Y26*40))/8,1)</f>
        <v>2</v>
      </c>
      <c r="Z27" s="6"/>
      <c r="AA27" s="6" t="s">
        <v>26</v>
      </c>
      <c r="AB27" s="6">
        <f>FLOOR((AB25-(AB26*40))/8,1)</f>
        <v>1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</row>
    <row r="28" ht="15.75" customHeight="1">
      <c r="A28" s="6"/>
      <c r="B28" s="6" t="s">
        <v>71</v>
      </c>
      <c r="C28" s="6">
        <v>4.0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 t="s">
        <v>27</v>
      </c>
      <c r="P28" s="6">
        <f>V25-(P26*40)-(P27*8)</f>
        <v>0</v>
      </c>
      <c r="Q28" s="6"/>
      <c r="R28" s="6"/>
      <c r="S28" s="6"/>
      <c r="T28" s="6"/>
      <c r="U28" s="6"/>
      <c r="V28" s="6"/>
      <c r="W28" s="6"/>
      <c r="X28" s="6" t="s">
        <v>27</v>
      </c>
      <c r="Y28" s="6">
        <f>Y25-(Y26*40)-(Y27*8)</f>
        <v>0</v>
      </c>
      <c r="Z28" s="6"/>
      <c r="AA28" s="6" t="s">
        <v>27</v>
      </c>
      <c r="AB28" s="6">
        <f>AB25-(AB26*40)-(AB27*8)</f>
        <v>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</row>
    <row r="29" ht="15.75" customHeight="1">
      <c r="A29" s="6"/>
      <c r="B29" s="6" t="s">
        <v>72</v>
      </c>
      <c r="C29" s="6">
        <v>0.5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 ht="15.75" customHeight="1">
      <c r="A30" s="6"/>
      <c r="B30" s="6" t="s">
        <v>73</v>
      </c>
      <c r="C30" s="6">
        <v>0.5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 ht="15.75" customHeight="1">
      <c r="A31" s="6"/>
      <c r="B31" s="53" t="s">
        <v>74</v>
      </c>
      <c r="C31" s="6">
        <v>1.0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ht="32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U40" s="7"/>
      <c r="V40" s="7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7"/>
      <c r="Q41" s="7"/>
      <c r="R41" s="7"/>
      <c r="S41" s="7"/>
      <c r="T41" s="7"/>
      <c r="U41" s="7"/>
      <c r="V41" s="7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 ht="33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54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</row>
    <row r="58" ht="15.75" customHeight="1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54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54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4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4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55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</row>
  </sheetData>
  <mergeCells count="4">
    <mergeCell ref="AL1:AM1"/>
    <mergeCell ref="BC1:BF3"/>
    <mergeCell ref="AL2:AM2"/>
    <mergeCell ref="AL3:AM3"/>
  </mergeCells>
  <conditionalFormatting sqref="U5:AD19">
    <cfRule type="cellIs" dxfId="0" priority="1" operator="equal">
      <formula>0</formula>
    </cfRule>
  </conditionalFormatting>
  <conditionalFormatting sqref="AQ5:AQ14 AS5:AS14 AU5:AU14">
    <cfRule type="expression" dxfId="1" priority="2" stopIfTrue="1">
      <formula>AQ5=""</formula>
    </cfRule>
  </conditionalFormatting>
  <conditionalFormatting sqref="AQ5:AQ14 AS5:AS14 AU5:AU14">
    <cfRule type="expression" dxfId="2" priority="3" stopIfTrue="1">
      <formula>AQ5&lt;AR5</formula>
    </cfRule>
  </conditionalFormatting>
  <conditionalFormatting sqref="AQ5:AQ14 AS5:AS14 AU5:AU14">
    <cfRule type="expression" dxfId="3" priority="4" stopIfTrue="1">
      <formula>AQ5&gt;=AR5</formula>
    </cfRule>
  </conditionalFormatting>
  <printOptions/>
  <pageMargins bottom="0.75" footer="0.0" header="0.0" left="0.7" right="0.7" top="0.75"/>
  <pageSetup orientation="portrait"/>
  <headerFooter>
    <oddFooter>&amp;C#D89B2BConfidential - Company Proprietary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1.71"/>
    <col customWidth="1" min="3" max="3" width="11.71"/>
    <col customWidth="1" min="4" max="13" width="18.0"/>
    <col customWidth="1" min="14" max="14" width="12.0"/>
    <col customWidth="1" min="15" max="15" width="14.29"/>
    <col customWidth="1" min="16" max="16" width="9.29"/>
    <col customWidth="1" min="17" max="17" width="8.71"/>
    <col customWidth="1" min="18" max="18" width="6.29"/>
    <col customWidth="1" min="19" max="19" width="8.29"/>
    <col customWidth="1" min="20" max="20" width="9.71"/>
    <col customWidth="1" min="21" max="21" width="12.43"/>
    <col customWidth="1" min="22" max="27" width="11.71"/>
    <col customWidth="1" min="28" max="30" width="12.29"/>
    <col customWidth="1" min="31" max="31" width="1.71"/>
    <col customWidth="1" min="32" max="32" width="9.29"/>
    <col customWidth="1" min="33" max="33" width="2.0"/>
    <col customWidth="1" min="34" max="34" width="2.29"/>
    <col customWidth="1" min="35" max="35" width="9.29"/>
    <col customWidth="1" min="36" max="36" width="12.71"/>
    <col customWidth="1" min="37" max="37" width="11.57"/>
    <col customWidth="1" min="38" max="38" width="9.29"/>
    <col customWidth="1" min="39" max="39" width="7.14"/>
    <col customWidth="1" min="40" max="40" width="8.14"/>
    <col customWidth="1" min="41" max="41" width="7.43"/>
    <col customWidth="1" min="42" max="43" width="12.29"/>
    <col customWidth="1" min="44" max="44" width="11.14"/>
    <col customWidth="1" min="45" max="45" width="12.71"/>
    <col customWidth="1" min="46" max="46" width="10.43"/>
    <col customWidth="1" min="47" max="47" width="9.43"/>
    <col customWidth="1" min="48" max="48" width="11.29"/>
    <col customWidth="1" min="49" max="49" width="10.57"/>
    <col customWidth="1" min="50" max="50" width="10.86"/>
    <col customWidth="1" min="51" max="51" width="10.57"/>
    <col customWidth="1" hidden="1" min="52" max="53" width="12.71"/>
    <col customWidth="1" hidden="1" min="54" max="54" width="11.71"/>
    <col customWidth="1" hidden="1" min="55" max="55" width="11.29"/>
    <col customWidth="1" min="56" max="56" width="9.29"/>
    <col customWidth="1" min="57" max="58" width="12.14"/>
    <col customWidth="1" min="59" max="59" width="9.57"/>
    <col customWidth="1" min="60" max="60" width="22.43"/>
    <col customWidth="1" min="61" max="61" width="39.43"/>
    <col customWidth="1" min="62" max="62" width="17.43"/>
    <col customWidth="1" min="63" max="63" width="16.0"/>
    <col customWidth="1" min="64" max="64" width="12.0"/>
    <col customWidth="1" min="65" max="65" width="12.43"/>
    <col customWidth="1" min="66" max="66" width="9.29"/>
    <col customWidth="1" min="67" max="67" width="13.29"/>
    <col customWidth="1" min="68" max="68" width="12.43"/>
    <col customWidth="1" min="69" max="74" width="9.29"/>
  </cols>
  <sheetData>
    <row r="1" ht="15.0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 t="s">
        <v>4</v>
      </c>
      <c r="P1" s="7"/>
      <c r="Q1" s="7"/>
      <c r="R1" s="7"/>
      <c r="S1" s="7"/>
      <c r="T1" s="7"/>
      <c r="U1" s="7" t="s">
        <v>5</v>
      </c>
      <c r="V1" s="7"/>
      <c r="W1" s="7"/>
      <c r="X1" s="7"/>
      <c r="Y1" s="7"/>
      <c r="Z1" s="7" t="s">
        <v>6</v>
      </c>
      <c r="AA1" s="7"/>
      <c r="AB1" s="7"/>
      <c r="AC1" s="7"/>
      <c r="AD1" s="7"/>
      <c r="AE1" s="7"/>
      <c r="AF1" s="7" t="s">
        <v>7</v>
      </c>
      <c r="AG1" s="6"/>
      <c r="AH1" s="6"/>
      <c r="AI1" s="6"/>
      <c r="AJ1" s="7" t="s">
        <v>8</v>
      </c>
      <c r="AK1" s="8" t="str">
        <f>AP2</f>
        <v/>
      </c>
      <c r="AL1" s="9"/>
      <c r="AM1" s="10"/>
      <c r="AN1" s="56" t="s">
        <v>56</v>
      </c>
      <c r="AO1" s="57" t="s">
        <v>58</v>
      </c>
      <c r="AP1" s="58" t="s">
        <v>75</v>
      </c>
      <c r="AQ1" s="12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F1" s="13"/>
      <c r="BH1" s="6"/>
      <c r="BI1" s="14" t="s">
        <v>13</v>
      </c>
      <c r="BJ1" s="59"/>
      <c r="BK1" s="59"/>
      <c r="BL1" s="59"/>
      <c r="BU1" s="6"/>
      <c r="BV1" s="6"/>
    </row>
    <row r="2" ht="30.75" customHeight="1">
      <c r="A2" s="6"/>
      <c r="B2" s="6"/>
      <c r="C2" s="6"/>
      <c r="D2" s="7" t="s">
        <v>10</v>
      </c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 t="s">
        <v>14</v>
      </c>
      <c r="V2" s="7"/>
      <c r="W2" s="7"/>
      <c r="X2" s="7"/>
      <c r="Y2" s="7"/>
      <c r="Z2" s="7"/>
      <c r="AA2" s="7"/>
      <c r="AB2" s="7"/>
      <c r="AC2" s="7"/>
      <c r="AD2" s="7" t="s">
        <v>15</v>
      </c>
      <c r="AE2" s="7"/>
      <c r="AF2" s="7"/>
      <c r="AG2" s="6"/>
      <c r="AH2" s="6"/>
      <c r="AI2" s="6"/>
      <c r="AJ2" s="7" t="s">
        <v>16</v>
      </c>
      <c r="AK2" s="15">
        <f>U3</f>
        <v>45169</v>
      </c>
      <c r="AL2" s="9" t="s">
        <v>17</v>
      </c>
      <c r="AM2" s="10"/>
      <c r="AN2" s="16"/>
      <c r="AO2" s="16"/>
      <c r="AP2" s="16"/>
      <c r="AQ2" s="1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F2" s="13"/>
      <c r="BH2" s="6"/>
      <c r="BJ2" s="59"/>
      <c r="BK2" s="59"/>
      <c r="BL2" s="59"/>
      <c r="BU2" s="6"/>
      <c r="BV2" s="6"/>
    </row>
    <row r="3" ht="15.0" customHeight="1">
      <c r="A3" s="6"/>
      <c r="B3" s="6"/>
      <c r="C3" s="7" t="s">
        <v>18</v>
      </c>
      <c r="D3" s="17">
        <v>45169.0</v>
      </c>
      <c r="E3" s="17">
        <f t="shared" ref="E3:M3" si="1">WORKDAY(D3,1)</f>
        <v>45170</v>
      </c>
      <c r="F3" s="17">
        <f t="shared" si="1"/>
        <v>45173</v>
      </c>
      <c r="G3" s="17">
        <f t="shared" si="1"/>
        <v>45174</v>
      </c>
      <c r="H3" s="17">
        <f t="shared" si="1"/>
        <v>45175</v>
      </c>
      <c r="I3" s="17">
        <f t="shared" si="1"/>
        <v>45176</v>
      </c>
      <c r="J3" s="17">
        <f t="shared" si="1"/>
        <v>45177</v>
      </c>
      <c r="K3" s="17">
        <f t="shared" si="1"/>
        <v>45180</v>
      </c>
      <c r="L3" s="17">
        <f t="shared" si="1"/>
        <v>45181</v>
      </c>
      <c r="M3" s="17">
        <f t="shared" si="1"/>
        <v>45182</v>
      </c>
      <c r="N3" s="18"/>
      <c r="O3" s="7" t="s">
        <v>1</v>
      </c>
      <c r="P3" s="7"/>
      <c r="Q3" s="7"/>
      <c r="R3" s="7"/>
      <c r="S3" s="7"/>
      <c r="T3" s="7"/>
      <c r="U3" s="17">
        <f t="shared" ref="U3:AD3" si="2">D3</f>
        <v>45169</v>
      </c>
      <c r="V3" s="17">
        <f t="shared" si="2"/>
        <v>45170</v>
      </c>
      <c r="W3" s="17">
        <f t="shared" si="2"/>
        <v>45173</v>
      </c>
      <c r="X3" s="17">
        <f t="shared" si="2"/>
        <v>45174</v>
      </c>
      <c r="Y3" s="17">
        <f t="shared" si="2"/>
        <v>45175</v>
      </c>
      <c r="Z3" s="17">
        <f t="shared" si="2"/>
        <v>45176</v>
      </c>
      <c r="AA3" s="17">
        <f t="shared" si="2"/>
        <v>45177</v>
      </c>
      <c r="AB3" s="17">
        <f t="shared" si="2"/>
        <v>45180</v>
      </c>
      <c r="AC3" s="17">
        <f t="shared" si="2"/>
        <v>45181</v>
      </c>
      <c r="AD3" s="17">
        <f t="shared" si="2"/>
        <v>45182</v>
      </c>
      <c r="AE3" s="7"/>
      <c r="AF3" s="7"/>
      <c r="AG3" s="6"/>
      <c r="AH3" s="6"/>
      <c r="AI3" s="6"/>
      <c r="AJ3" s="6"/>
      <c r="AK3" s="19"/>
      <c r="AL3" s="20"/>
      <c r="AM3" s="10"/>
      <c r="AN3" s="21"/>
      <c r="AO3" s="21"/>
      <c r="AP3" s="21"/>
      <c r="AQ3" s="21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F3" s="13"/>
      <c r="BH3" s="6"/>
      <c r="BJ3" s="59"/>
      <c r="BK3" s="59"/>
      <c r="BL3" s="59"/>
      <c r="BU3" s="6"/>
      <c r="BV3" s="6"/>
    </row>
    <row r="4" ht="46.5" customHeight="1">
      <c r="A4" s="6"/>
      <c r="B4" s="6"/>
      <c r="C4" s="6"/>
      <c r="D4" s="7" t="str">
        <f t="shared" ref="D4:M4" si="3">TEXT(D3,"ddd")</f>
        <v>czw.</v>
      </c>
      <c r="E4" s="7" t="str">
        <f t="shared" si="3"/>
        <v>pt.</v>
      </c>
      <c r="F4" s="7" t="str">
        <f t="shared" si="3"/>
        <v>pon.</v>
      </c>
      <c r="G4" s="7" t="str">
        <f t="shared" si="3"/>
        <v>wt.</v>
      </c>
      <c r="H4" s="7" t="str">
        <f t="shared" si="3"/>
        <v>śr.</v>
      </c>
      <c r="I4" s="7" t="str">
        <f t="shared" si="3"/>
        <v>czw.</v>
      </c>
      <c r="J4" s="7" t="str">
        <f t="shared" si="3"/>
        <v>pt.</v>
      </c>
      <c r="K4" s="7" t="str">
        <f t="shared" si="3"/>
        <v>pon.</v>
      </c>
      <c r="L4" s="7" t="str">
        <f t="shared" si="3"/>
        <v>wt.</v>
      </c>
      <c r="M4" s="7" t="str">
        <f t="shared" si="3"/>
        <v>śr.</v>
      </c>
      <c r="N4" s="7"/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tr">
        <f t="shared" ref="U4:AD4" si="4">D4</f>
        <v>czw.</v>
      </c>
      <c r="V4" s="7" t="str">
        <f t="shared" si="4"/>
        <v>pt.</v>
      </c>
      <c r="W4" s="7" t="str">
        <f t="shared" si="4"/>
        <v>pon.</v>
      </c>
      <c r="X4" s="7" t="str">
        <f t="shared" si="4"/>
        <v>wt.</v>
      </c>
      <c r="Y4" s="7" t="str">
        <f t="shared" si="4"/>
        <v>śr.</v>
      </c>
      <c r="Z4" s="7" t="str">
        <f t="shared" si="4"/>
        <v>czw.</v>
      </c>
      <c r="AA4" s="7" t="str">
        <f t="shared" si="4"/>
        <v>pt.</v>
      </c>
      <c r="AB4" s="7" t="str">
        <f t="shared" si="4"/>
        <v>pon.</v>
      </c>
      <c r="AC4" s="7" t="str">
        <f t="shared" si="4"/>
        <v>wt.</v>
      </c>
      <c r="AD4" s="7" t="str">
        <f t="shared" si="4"/>
        <v>śr.</v>
      </c>
      <c r="AE4" s="7"/>
      <c r="AF4" s="7"/>
      <c r="AG4" s="6"/>
      <c r="AH4" s="6"/>
      <c r="AI4" s="6"/>
      <c r="AJ4" s="6"/>
      <c r="AK4" s="60" t="s">
        <v>76</v>
      </c>
      <c r="AL4" s="61" t="s">
        <v>77</v>
      </c>
      <c r="AM4" s="6" t="s">
        <v>78</v>
      </c>
      <c r="AN4" s="62" t="s">
        <v>29</v>
      </c>
      <c r="AO4" s="6"/>
      <c r="AP4" s="63" t="s">
        <v>30</v>
      </c>
      <c r="AQ4" s="64" t="s">
        <v>31</v>
      </c>
      <c r="AR4" s="65" t="s">
        <v>32</v>
      </c>
      <c r="AS4" s="66" t="s">
        <v>33</v>
      </c>
      <c r="AT4" s="67" t="s">
        <v>34</v>
      </c>
      <c r="AU4" s="68" t="s">
        <v>35</v>
      </c>
      <c r="AV4" s="69" t="s">
        <v>79</v>
      </c>
      <c r="AW4" s="70" t="s">
        <v>80</v>
      </c>
      <c r="AX4" s="71" t="s">
        <v>81</v>
      </c>
      <c r="AY4" s="72" t="s">
        <v>82</v>
      </c>
      <c r="AZ4" s="73" t="s">
        <v>83</v>
      </c>
      <c r="BA4" s="74" t="s">
        <v>84</v>
      </c>
      <c r="BB4" s="75" t="s">
        <v>85</v>
      </c>
      <c r="BC4" s="74" t="s">
        <v>86</v>
      </c>
      <c r="BD4" s="6"/>
      <c r="BE4" s="6" t="s">
        <v>36</v>
      </c>
      <c r="BF4" s="6" t="s">
        <v>37</v>
      </c>
      <c r="BG4" s="22" t="s">
        <v>87</v>
      </c>
      <c r="BH4" s="6" t="s">
        <v>39</v>
      </c>
      <c r="BI4" s="6" t="s">
        <v>40</v>
      </c>
      <c r="BJ4" s="7" t="s">
        <v>41</v>
      </c>
      <c r="BK4" s="7" t="s">
        <v>42</v>
      </c>
      <c r="BL4" s="7" t="s">
        <v>43</v>
      </c>
      <c r="BM4" s="7" t="s">
        <v>44</v>
      </c>
      <c r="BN4" s="7" t="s">
        <v>45</v>
      </c>
      <c r="BO4" s="7" t="s">
        <v>46</v>
      </c>
      <c r="BP4" s="7" t="s">
        <v>47</v>
      </c>
      <c r="BQ4" s="7" t="s">
        <v>48</v>
      </c>
      <c r="BR4" s="7" t="s">
        <v>49</v>
      </c>
      <c r="BS4" s="7" t="s">
        <v>50</v>
      </c>
      <c r="BT4" s="7" t="s">
        <v>51</v>
      </c>
      <c r="BU4" s="7" t="s">
        <v>52</v>
      </c>
      <c r="BV4" s="7" t="s">
        <v>53</v>
      </c>
    </row>
    <row r="5" ht="43.5" customHeight="1">
      <c r="A5" s="7"/>
      <c r="B5" s="23" t="s">
        <v>54</v>
      </c>
      <c r="C5" s="24" t="s">
        <v>55</v>
      </c>
      <c r="D5" s="25" t="str">
        <f t="array" ref="D5">TEXTJOIN(", ",TRUE,IF(PTO_Dates=D3,PTO_Names,""))</f>
        <v/>
      </c>
      <c r="E5" s="25" t="str">
        <f t="array" ref="E5">TEXTJOIN(", ",TRUE,IF(PTO_Dates=E3,PTO_Names,""))</f>
        <v/>
      </c>
      <c r="F5" s="25" t="str">
        <f t="array" ref="F5">TEXTJOIN(", ",TRUE,IF(PTO_Dates=F3,PTO_Names,""))</f>
        <v/>
      </c>
      <c r="G5" s="25" t="str">
        <f t="array" ref="G5">TEXTJOIN(", ",TRUE,IF(PTO_Dates=G3,PTO_Names,""))</f>
        <v/>
      </c>
      <c r="H5" s="25" t="str">
        <f t="array" ref="H5">TEXTJOIN(", ",TRUE,IF(PTO_Dates=H3,PTO_Names,""))</f>
        <v/>
      </c>
      <c r="I5" s="25" t="str">
        <f t="array" ref="I5">TEXTJOIN(", ",TRUE,IF(PTO_Dates=I3,PTO_Names,""))</f>
        <v/>
      </c>
      <c r="J5" s="25" t="str">
        <f t="array" ref="J5">TEXTJOIN(", ",TRUE,IF(PTO_Dates=J3,PTO_Names,""))</f>
        <v/>
      </c>
      <c r="K5" s="25" t="str">
        <f t="array" ref="K5">TEXTJOIN(", ",TRUE,IF(PTO_Dates=K3,PTO_Names,""))</f>
        <v/>
      </c>
      <c r="L5" s="25" t="str">
        <f t="array" ref="L5">TEXTJOIN(", ",TRUE,IF(PTO_Dates=L3,PTO_Names,""))</f>
        <v/>
      </c>
      <c r="M5" s="25" t="str">
        <f t="array" ref="M5">TEXTJOIN(", ",TRUE,IF(PTO_Dates=M3,PTO_Names,""))</f>
        <v/>
      </c>
      <c r="P5" s="1" t="s">
        <v>56</v>
      </c>
      <c r="R5" s="1">
        <v>8.0</v>
      </c>
      <c r="S5" s="26" t="b">
        <v>1</v>
      </c>
      <c r="T5" s="27">
        <f t="shared" ref="T5:T19" si="5">IFERROR(SUM(U5:AC5)/COUNTIF(U5:AC5,"&gt;0"),0)</f>
        <v>6.4</v>
      </c>
      <c r="U5" s="1">
        <f t="array" ref="U5">IF($S5,$P$29*MAX(0,$R5-1*IF(OR(ISNUMBER(SEARCH($O5,D$5)), ISNUMBER(SEARCH($Q5,D$5)), (ISNUMBER(SEARCH("All",D$5)))),$R5,SUMPRODUCT(--((ISNUMBER(SEARCH("All",D$6:D$103)) + ISNUMBER(SEARCH($O5,D$6:D$103)) + ISNUMBER(SEARCH($Q5,D$6:D$103)) +  ISNUMBER(SEARCH($P5,D$6:D$103))) &gt; 0),$C$6:$C$103))),$S$30*$P$29*MAX(0,$R5-1*IF(OR(ISNUMBER(SEARCH($O5,D$5)), ISNUMBER(SEARCH($Q5,D$5)), (ISNUMBER(SEARCH("All",D$5)))),$R5,SUMPRODUCT(--((ISNUMBER(SEARCH("All",D$6:D$103)) + ISNUMBER(SEARCH($O5,D$6:D$103)) + ISNUMBER(SEARCH($Q5,D$6:D$103)) +  ISNUMBER(SEARCH($P5,D$6:D$103))) &gt; 0),$C$6:$C$103))))</f>
        <v>6.4</v>
      </c>
      <c r="V5" s="1">
        <f t="array" ref="V5">IF($S5,$P$29*MAX(0,$R5-1*IF(OR(ISNUMBER(SEARCH($O5,E$5)), ISNUMBER(SEARCH($Q5,E$5)), (ISNUMBER(SEARCH("All",E$5)))),$R5,SUMPRODUCT(--((ISNUMBER(SEARCH("All",E$6:E$103)) + ISNUMBER(SEARCH($O5,E$6:E$103)) + ISNUMBER(SEARCH($Q5,E$6:E$103)) +  ISNUMBER(SEARCH($P5,E$6:E$103))) &gt; 0),$C$6:$C$103))),$S$30*$P$29*MAX(0,$R5-1*IF(OR(ISNUMBER(SEARCH($O5,E$5)), ISNUMBER(SEARCH($Q5,E$5)), (ISNUMBER(SEARCH("All",E$5)))),$R5,SUMPRODUCT(--((ISNUMBER(SEARCH("All",E$6:E$103)) + ISNUMBER(SEARCH($O5,E$6:E$103)) + ISNUMBER(SEARCH($Q5,E$6:E$103)) +  ISNUMBER(SEARCH($P5,E$6:E$103))) &gt; 0),$C$6:$C$103))))</f>
        <v>6.4</v>
      </c>
      <c r="W5" s="1">
        <f t="array" ref="W5">IF($S5,$P$29*MAX(0,$R5-1*IF(OR(ISNUMBER(SEARCH($O5,F$5)), ISNUMBER(SEARCH($Q5,F$5)), (ISNUMBER(SEARCH("All",F$5)))),$R5,SUMPRODUCT(--((ISNUMBER(SEARCH("All",F$6:F$103)) + ISNUMBER(SEARCH($O5,F$6:F$103)) + ISNUMBER(SEARCH($Q5,F$6:F$103)) +  ISNUMBER(SEARCH($P5,F$6:F$103))) &gt; 0),$C$6:$C$103))),$S$30*$P$29*MAX(0,$R5-1*IF(OR(ISNUMBER(SEARCH($O5,F$5)), ISNUMBER(SEARCH($Q5,F$5)), (ISNUMBER(SEARCH("All",F$5)))),$R5,SUMPRODUCT(--((ISNUMBER(SEARCH("All",F$6:F$103)) + ISNUMBER(SEARCH($O5,F$6:F$103)) + ISNUMBER(SEARCH($Q5,F$6:F$103)) +  ISNUMBER(SEARCH($P5,F$6:F$103))) &gt; 0),$C$6:$C$103))))</f>
        <v>6.4</v>
      </c>
      <c r="X5" s="1">
        <f t="array" ref="X5">IF($S5,$P$29*MAX(0,$R5-1*IF(OR(ISNUMBER(SEARCH($O5,G$5)), ISNUMBER(SEARCH($Q5,G$5)), (ISNUMBER(SEARCH("All",G$5)))),$R5,SUMPRODUCT(--((ISNUMBER(SEARCH("All",G$6:G$103)) + ISNUMBER(SEARCH($O5,G$6:G$103)) + ISNUMBER(SEARCH($Q5,G$6:G$103)) +  ISNUMBER(SEARCH($P5,G$6:G$103))) &gt; 0),$C$6:$C$103))),$S$30*$P$29*MAX(0,$R5-1*IF(OR(ISNUMBER(SEARCH($O5,G$5)), ISNUMBER(SEARCH($Q5,G$5)), (ISNUMBER(SEARCH("All",G$5)))),$R5,SUMPRODUCT(--((ISNUMBER(SEARCH("All",G$6:G$103)) + ISNUMBER(SEARCH($O5,G$6:G$103)) + ISNUMBER(SEARCH($Q5,G$6:G$103)) +  ISNUMBER(SEARCH($P5,G$6:G$103))) &gt; 0),$C$6:$C$103))))</f>
        <v>6.4</v>
      </c>
      <c r="Y5" s="1">
        <f t="array" ref="Y5">IF($S5,$P$29*MAX(0,$R5-1*IF(OR(ISNUMBER(SEARCH($O5,H$5)), ISNUMBER(SEARCH($Q5,H$5)), (ISNUMBER(SEARCH("All",H$5)))),$R5,SUMPRODUCT(--((ISNUMBER(SEARCH("All",H$6:H$103)) + ISNUMBER(SEARCH($O5,H$6:H$103)) + ISNUMBER(SEARCH($Q5,H$6:H$103)) +  ISNUMBER(SEARCH($P5,H$6:H$103))) &gt; 0),$C$6:$C$103))),$S$30*$P$29*MAX(0,$R5-1*IF(OR(ISNUMBER(SEARCH($O5,H$5)), ISNUMBER(SEARCH($Q5,H$5)), (ISNUMBER(SEARCH("All",H$5)))),$R5,SUMPRODUCT(--((ISNUMBER(SEARCH("All",H$6:H$103)) + ISNUMBER(SEARCH($O5,H$6:H$103)) + ISNUMBER(SEARCH($Q5,H$6:H$103)) +  ISNUMBER(SEARCH($P5,H$6:H$103))) &gt; 0),$C$6:$C$103))))</f>
        <v>6.4</v>
      </c>
      <c r="Z5" s="1">
        <f t="array" ref="Z5">IF($S5,$P$29*MAX(0,$R5-1*IF(OR(ISNUMBER(SEARCH($O5,I$5)), ISNUMBER(SEARCH($Q5,I$5)), (ISNUMBER(SEARCH("All",I$5)))),$R5,SUMPRODUCT(--((ISNUMBER(SEARCH("All",I$6:I$103)) + ISNUMBER(SEARCH($O5,I$6:I$103)) + ISNUMBER(SEARCH($Q5,I$6:I$103)) +  ISNUMBER(SEARCH($P5,I$6:I$103))) &gt; 0),$C$6:$C$103))),$S$30*$P$29*MAX(0,$R5-1*IF(OR(ISNUMBER(SEARCH($O5,I$5)), ISNUMBER(SEARCH($Q5,I$5)), (ISNUMBER(SEARCH("All",I$5)))),$R5,SUMPRODUCT(--((ISNUMBER(SEARCH("All",I$6:I$103)) + ISNUMBER(SEARCH($O5,I$6:I$103)) + ISNUMBER(SEARCH($Q5,I$6:I$103)) +  ISNUMBER(SEARCH($P5,I$6:I$103))) &gt; 0),$C$6:$C$103))))</f>
        <v>6.4</v>
      </c>
      <c r="AA5" s="1">
        <f t="array" ref="AA5">IF($S5,$P$29*MAX(0,$R5-1*IF(OR(ISNUMBER(SEARCH($O5,J$5)), ISNUMBER(SEARCH($Q5,J$5)), (ISNUMBER(SEARCH("All",J$5)))),$R5,SUMPRODUCT(--((ISNUMBER(SEARCH("All",J$6:J$103)) + ISNUMBER(SEARCH($O5,J$6:J$103)) + ISNUMBER(SEARCH($Q5,J$6:J$103)) +  ISNUMBER(SEARCH($P5,J$6:J$103))) &gt; 0),$C$6:$C$103))),$S$30*$P$29*MAX(0,$R5-1*IF(OR(ISNUMBER(SEARCH($O5,J$5)), ISNUMBER(SEARCH($Q5,J$5)), (ISNUMBER(SEARCH("All",J$5)))),$R5,SUMPRODUCT(--((ISNUMBER(SEARCH("All",J$6:J$103)) + ISNUMBER(SEARCH($O5,J$6:J$103)) + ISNUMBER(SEARCH($Q5,J$6:J$103)) +  ISNUMBER(SEARCH($P5,J$6:J$103))) &gt; 0),$C$6:$C$103))))</f>
        <v>6.4</v>
      </c>
      <c r="AB5" s="1">
        <f t="array" ref="AB5">IF($S5,$P$29*MAX(0,$R5-1*IF(OR(ISNUMBER(SEARCH($O5,K$5)), ISNUMBER(SEARCH($Q5,K$5)), (ISNUMBER(SEARCH("All",K$5)))),$R5,SUMPRODUCT(--((ISNUMBER(SEARCH("All",K$6:K$103)) + ISNUMBER(SEARCH($O5,K$6:K$103)) + ISNUMBER(SEARCH($Q5,K$6:K$103)) +  ISNUMBER(SEARCH($P5,K$6:K$103))) &gt; 0),$C$6:$C$103))),$S$30*$P$29*MAX(0,$R5-1*IF(OR(ISNUMBER(SEARCH($O5,K$5)), ISNUMBER(SEARCH($Q5,K$5)), (ISNUMBER(SEARCH("All",K$5)))),$R5,SUMPRODUCT(--((ISNUMBER(SEARCH("All",K$6:K$103)) + ISNUMBER(SEARCH($O5,K$6:K$103)) + ISNUMBER(SEARCH($Q5,K$6:K$103)) +  ISNUMBER(SEARCH($P5,K$6:K$103))) &gt; 0),$C$6:$C$103))))</f>
        <v>6.4</v>
      </c>
      <c r="AC5" s="1">
        <f t="array" ref="AC5">IF($S5,$P$29*MAX(0,$R5-1*IF(OR(ISNUMBER(SEARCH($O5,L$5)), ISNUMBER(SEARCH($Q5,L$5)), (ISNUMBER(SEARCH("All",L$5)))),$R5,SUMPRODUCT(--((ISNUMBER(SEARCH("All",L$6:L$103)) + ISNUMBER(SEARCH($O5,L$6:L$103)) + ISNUMBER(SEARCH($Q5,L$6:L$103)) +  ISNUMBER(SEARCH($P5,L$6:L$103))) &gt; 0),$C$6:$C$103))),$S$30*$P$29*MAX(0,$R5-1*IF(OR(ISNUMBER(SEARCH($O5,L$5)), ISNUMBER(SEARCH($Q5,L$5)), (ISNUMBER(SEARCH("All",L$5)))),$R5,SUMPRODUCT(--((ISNUMBER(SEARCH("All",L$6:L$103)) + ISNUMBER(SEARCH($O5,L$6:L$103)) + ISNUMBER(SEARCH($Q5,L$6:L$103)) +  ISNUMBER(SEARCH($P5,L$6:L$103))) &gt; 0),$C$6:$C$103))))</f>
        <v>6.4</v>
      </c>
      <c r="AD5" s="1">
        <f t="array" ref="AD5">IF($S5,$P$29*MAX(0,$R5-1*IF(OR(ISNUMBER(SEARCH($O5,M$5)), ISNUMBER(SEARCH($Q5,M$5)), (ISNUMBER(SEARCH("All",M$5)))),$R5,SUMPRODUCT(--((ISNUMBER(SEARCH("All",M$6:M$103)) + ISNUMBER(SEARCH($O5,M$6:M$103)) + ISNUMBER(SEARCH($Q5,M$6:M$103)) +  ISNUMBER(SEARCH($P5,M$6:M$103))) &gt; 0),$C$6:$C$103))),$S$30*$P$29*MAX(0,$R5-1*IF(OR(ISNUMBER(SEARCH($O5,M$5)), ISNUMBER(SEARCH($Q5,M$5)), (ISNUMBER(SEARCH("All",M$5)))),$R5,SUMPRODUCT(--((ISNUMBER(SEARCH("All",M$6:M$103)) + ISNUMBER(SEARCH($O5,M$6:M$103)) + ISNUMBER(SEARCH($Q5,M$6:M$103)) +  ISNUMBER(SEARCH($P5,M$6:M$103))) &gt; 0),$C$6:$C$103))))</f>
        <v>6.4</v>
      </c>
      <c r="AE5" s="6"/>
      <c r="AF5" s="6">
        <f t="shared" ref="AF5:AF19" si="6">SUM(U5:AD5)</f>
        <v>64</v>
      </c>
      <c r="AG5" s="6"/>
      <c r="AH5" s="6"/>
      <c r="AI5" s="6"/>
      <c r="AJ5" s="28">
        <f>U3</f>
        <v>45169</v>
      </c>
      <c r="AK5" s="29"/>
      <c r="AL5" s="29"/>
      <c r="AM5" s="29"/>
      <c r="AN5" s="76" t="str">
        <f t="shared" ref="AN5:AN14" si="7">IF(OR(ISNUMBER(AK5),ISNUMBER(AL5),ISNUMBER(AM5)),SUM(AK5:AM5),"")</f>
        <v/>
      </c>
      <c r="AP5" s="77" t="str">
        <f t="shared" ref="AP5:AP14" si="8">IF(ISNUMBER(AN5),(1-AN5/$AK$1),"")</f>
        <v/>
      </c>
      <c r="AQ5" s="78">
        <f>AU5</f>
        <v>0.07</v>
      </c>
      <c r="AR5" s="79">
        <f t="shared" ref="AR5:AR14" si="9">IFERROR(AT5*$AK$1,"")</f>
        <v>0</v>
      </c>
      <c r="AS5" s="80">
        <f t="shared" ref="AS5:AS14" si="10">AU5*$AK$1</f>
        <v>0</v>
      </c>
      <c r="AT5" s="81" t="str">
        <f>IF(AP5&lt;=100,AP5,"")</f>
        <v/>
      </c>
      <c r="AU5" s="82">
        <f>ROUND(U27,2)</f>
        <v>0.07</v>
      </c>
      <c r="AV5" s="79">
        <f t="shared" ref="AV5:AV14" si="11">IFERROR(AZ5*$AN$2,"")</f>
        <v>0</v>
      </c>
      <c r="AW5" s="83">
        <f t="shared" ref="AW5:AW14" si="12">BA5*$AN$2</f>
        <v>0</v>
      </c>
      <c r="AX5" s="79">
        <f t="shared" ref="AX5:AX14" si="13">IFERROR(BB5*$AO$2,"")</f>
        <v>0</v>
      </c>
      <c r="AY5" s="83">
        <f t="shared" ref="AY5:AY14" si="14">BC5*$AO$2</f>
        <v>0</v>
      </c>
      <c r="AZ5" s="84" t="str">
        <f>IF(ISNUMBER(AK5),(1-AK5/$AN$2),"")</f>
        <v/>
      </c>
      <c r="BA5" s="85">
        <f>ROUND(U$25,2)</f>
        <v>0.07</v>
      </c>
      <c r="BB5" s="81" t="str">
        <f>IF(ISNUMBER(AL5),(1-AL5/$AO$2),"")</f>
        <v/>
      </c>
      <c r="BC5" s="85">
        <f>ROUND(U$26,2)</f>
        <v>0.07</v>
      </c>
      <c r="BD5" s="6" t="str">
        <f>U$4</f>
        <v>czw.</v>
      </c>
      <c r="BE5" s="29"/>
      <c r="BF5" s="29"/>
      <c r="BG5" s="37" t="str">
        <f t="shared" ref="BG5:BG14" si="15">IF(BF5&gt;0,BF5/BE5, "")</f>
        <v/>
      </c>
      <c r="BH5" s="38"/>
      <c r="BI5" s="39"/>
      <c r="BV5" s="6"/>
    </row>
    <row r="6">
      <c r="A6" s="7"/>
      <c r="B6" s="40"/>
      <c r="C6" s="6"/>
      <c r="D6" s="41"/>
      <c r="E6" s="6"/>
      <c r="F6" s="6"/>
      <c r="G6" s="6"/>
      <c r="H6" s="6"/>
      <c r="I6" s="6"/>
      <c r="J6" s="6"/>
      <c r="K6" s="6"/>
      <c r="L6" s="6"/>
      <c r="M6" s="42"/>
      <c r="N6" s="6"/>
      <c r="P6" s="1" t="s">
        <v>58</v>
      </c>
      <c r="Q6" s="1" t="s">
        <v>57</v>
      </c>
      <c r="R6" s="1">
        <v>8.0</v>
      </c>
      <c r="S6" s="26" t="b">
        <v>1</v>
      </c>
      <c r="T6" s="27">
        <f t="shared" si="5"/>
        <v>6.4</v>
      </c>
      <c r="U6" s="1">
        <f t="array" ref="U6">IF($S6,$P$29*MAX(0,$R6-1*IF(OR(ISNUMBER(SEARCH($O6,D$5)), ISNUMBER(SEARCH($Q6,D$5)), (ISNUMBER(SEARCH("All",D$5)))),$R6,SUMPRODUCT(--((ISNUMBER(SEARCH("All",D$6:D$103)) + ISNUMBER(SEARCH($O6,D$6:D$103)) + ISNUMBER(SEARCH($Q6,D$6:D$103)) +  ISNUMBER(SEARCH($P6,D$6:D$103))) &gt; 0),$C$6:$C$103))),$S$30*$P$29*MAX(0,$R6-1*IF(OR(ISNUMBER(SEARCH($O6,D$5)), ISNUMBER(SEARCH($Q6,D$5)), (ISNUMBER(SEARCH("All",D$5)))),$R6,SUMPRODUCT(--((ISNUMBER(SEARCH("All",D$6:D$103)) + ISNUMBER(SEARCH($O6,D$6:D$103)) + ISNUMBER(SEARCH($Q6,D$6:D$103)) +  ISNUMBER(SEARCH($P6,D$6:D$103))) &gt; 0),$C$6:$C$103))))</f>
        <v>6.4</v>
      </c>
      <c r="V6" s="1">
        <f t="array" ref="V6">IF($S6,$P$29*MAX(0,$R6-1*IF(OR(ISNUMBER(SEARCH($O6,E$5)), ISNUMBER(SEARCH($Q6,E$5)), (ISNUMBER(SEARCH("All",E$5)))),$R6,SUMPRODUCT(--((ISNUMBER(SEARCH("All",E$6:E$103)) + ISNUMBER(SEARCH($O6,E$6:E$103)) + ISNUMBER(SEARCH($Q6,E$6:E$103)) +  ISNUMBER(SEARCH($P6,E$6:E$103))) &gt; 0),$C$6:$C$103))),$S$30*$P$29*MAX(0,$R6-1*IF(OR(ISNUMBER(SEARCH($O6,E$5)), ISNUMBER(SEARCH($Q6,E$5)), (ISNUMBER(SEARCH("All",E$5)))),$R6,SUMPRODUCT(--((ISNUMBER(SEARCH("All",E$6:E$103)) + ISNUMBER(SEARCH($O6,E$6:E$103)) + ISNUMBER(SEARCH($Q6,E$6:E$103)) +  ISNUMBER(SEARCH($P6,E$6:E$103))) &gt; 0),$C$6:$C$103))))</f>
        <v>6.4</v>
      </c>
      <c r="W6" s="1">
        <f t="array" ref="W6">IF($S6,$P$29*MAX(0,$R6-1*IF(OR(ISNUMBER(SEARCH($O6,F$5)), ISNUMBER(SEARCH($Q6,F$5)), (ISNUMBER(SEARCH("All",F$5)))),$R6,SUMPRODUCT(--((ISNUMBER(SEARCH("All",F$6:F$103)) + ISNUMBER(SEARCH($O6,F$6:F$103)) + ISNUMBER(SEARCH($Q6,F$6:F$103)) +  ISNUMBER(SEARCH($P6,F$6:F$103))) &gt; 0),$C$6:$C$103))),$S$30*$P$29*MAX(0,$R6-1*IF(OR(ISNUMBER(SEARCH($O6,F$5)), ISNUMBER(SEARCH($Q6,F$5)), (ISNUMBER(SEARCH("All",F$5)))),$R6,SUMPRODUCT(--((ISNUMBER(SEARCH("All",F$6:F$103)) + ISNUMBER(SEARCH($O6,F$6:F$103)) + ISNUMBER(SEARCH($Q6,F$6:F$103)) +  ISNUMBER(SEARCH($P6,F$6:F$103))) &gt; 0),$C$6:$C$103))))</f>
        <v>6.4</v>
      </c>
      <c r="X6" s="1">
        <f t="array" ref="X6">IF($S6,$P$29*MAX(0,$R6-1*IF(OR(ISNUMBER(SEARCH($O6,G$5)), ISNUMBER(SEARCH($Q6,G$5)), (ISNUMBER(SEARCH("All",G$5)))),$R6,SUMPRODUCT(--((ISNUMBER(SEARCH("All",G$6:G$103)) + ISNUMBER(SEARCH($O6,G$6:G$103)) + ISNUMBER(SEARCH($Q6,G$6:G$103)) +  ISNUMBER(SEARCH($P6,G$6:G$103))) &gt; 0),$C$6:$C$103))),$S$30*$P$29*MAX(0,$R6-1*IF(OR(ISNUMBER(SEARCH($O6,G$5)), ISNUMBER(SEARCH($Q6,G$5)), (ISNUMBER(SEARCH("All",G$5)))),$R6,SUMPRODUCT(--((ISNUMBER(SEARCH("All",G$6:G$103)) + ISNUMBER(SEARCH($O6,G$6:G$103)) + ISNUMBER(SEARCH($Q6,G$6:G$103)) +  ISNUMBER(SEARCH($P6,G$6:G$103))) &gt; 0),$C$6:$C$103))))</f>
        <v>6.4</v>
      </c>
      <c r="Y6" s="1">
        <f t="array" ref="Y6">IF($S6,$P$29*MAX(0,$R6-1*IF(OR(ISNUMBER(SEARCH($O6,H$5)), ISNUMBER(SEARCH($Q6,H$5)), (ISNUMBER(SEARCH("All",H$5)))),$R6,SUMPRODUCT(--((ISNUMBER(SEARCH("All",H$6:H$103)) + ISNUMBER(SEARCH($O6,H$6:H$103)) + ISNUMBER(SEARCH($Q6,H$6:H$103)) +  ISNUMBER(SEARCH($P6,H$6:H$103))) &gt; 0),$C$6:$C$103))),$S$30*$P$29*MAX(0,$R6-1*IF(OR(ISNUMBER(SEARCH($O6,H$5)), ISNUMBER(SEARCH($Q6,H$5)), (ISNUMBER(SEARCH("All",H$5)))),$R6,SUMPRODUCT(--((ISNUMBER(SEARCH("All",H$6:H$103)) + ISNUMBER(SEARCH($O6,H$6:H$103)) + ISNUMBER(SEARCH($Q6,H$6:H$103)) +  ISNUMBER(SEARCH($P6,H$6:H$103))) &gt; 0),$C$6:$C$103))))</f>
        <v>6.4</v>
      </c>
      <c r="Z6" s="1">
        <f t="array" ref="Z6">IF($S6,$P$29*MAX(0,$R6-1*IF(OR(ISNUMBER(SEARCH($O6,I$5)), ISNUMBER(SEARCH($Q6,I$5)), (ISNUMBER(SEARCH("All",I$5)))),$R6,SUMPRODUCT(--((ISNUMBER(SEARCH("All",I$6:I$103)) + ISNUMBER(SEARCH($O6,I$6:I$103)) + ISNUMBER(SEARCH($Q6,I$6:I$103)) +  ISNUMBER(SEARCH($P6,I$6:I$103))) &gt; 0),$C$6:$C$103))),$S$30*$P$29*MAX(0,$R6-1*IF(OR(ISNUMBER(SEARCH($O6,I$5)), ISNUMBER(SEARCH($Q6,I$5)), (ISNUMBER(SEARCH("All",I$5)))),$R6,SUMPRODUCT(--((ISNUMBER(SEARCH("All",I$6:I$103)) + ISNUMBER(SEARCH($O6,I$6:I$103)) + ISNUMBER(SEARCH($Q6,I$6:I$103)) +  ISNUMBER(SEARCH($P6,I$6:I$103))) &gt; 0),$C$6:$C$103))))</f>
        <v>6.4</v>
      </c>
      <c r="AA6" s="1">
        <f t="array" ref="AA6">IF($S6,$P$29*MAX(0,$R6-1*IF(OR(ISNUMBER(SEARCH($O6,J$5)), ISNUMBER(SEARCH($Q6,J$5)), (ISNUMBER(SEARCH("All",J$5)))),$R6,SUMPRODUCT(--((ISNUMBER(SEARCH("All",J$6:J$103)) + ISNUMBER(SEARCH($O6,J$6:J$103)) + ISNUMBER(SEARCH($Q6,J$6:J$103)) +  ISNUMBER(SEARCH($P6,J$6:J$103))) &gt; 0),$C$6:$C$103))),$S$30*$P$29*MAX(0,$R6-1*IF(OR(ISNUMBER(SEARCH($O6,J$5)), ISNUMBER(SEARCH($Q6,J$5)), (ISNUMBER(SEARCH("All",J$5)))),$R6,SUMPRODUCT(--((ISNUMBER(SEARCH("All",J$6:J$103)) + ISNUMBER(SEARCH($O6,J$6:J$103)) + ISNUMBER(SEARCH($Q6,J$6:J$103)) +  ISNUMBER(SEARCH($P6,J$6:J$103))) &gt; 0),$C$6:$C$103))))</f>
        <v>6.4</v>
      </c>
      <c r="AB6" s="1">
        <f t="array" ref="AB6">IF($S6,$P$29*MAX(0,$R6-1*IF(OR(ISNUMBER(SEARCH($O6,K$5)), ISNUMBER(SEARCH($Q6,K$5)), (ISNUMBER(SEARCH("All",K$5)))),$R6,SUMPRODUCT(--((ISNUMBER(SEARCH("All",K$6:K$103)) + ISNUMBER(SEARCH($O6,K$6:K$103)) + ISNUMBER(SEARCH($Q6,K$6:K$103)) +  ISNUMBER(SEARCH($P6,K$6:K$103))) &gt; 0),$C$6:$C$103))),$S$30*$P$29*MAX(0,$R6-1*IF(OR(ISNUMBER(SEARCH($O6,K$5)), ISNUMBER(SEARCH($Q6,K$5)), (ISNUMBER(SEARCH("All",K$5)))),$R6,SUMPRODUCT(--((ISNUMBER(SEARCH("All",K$6:K$103)) + ISNUMBER(SEARCH($O6,K$6:K$103)) + ISNUMBER(SEARCH($Q6,K$6:K$103)) +  ISNUMBER(SEARCH($P6,K$6:K$103))) &gt; 0),$C$6:$C$103))))</f>
        <v>6.4</v>
      </c>
      <c r="AC6" s="1">
        <f t="array" ref="AC6">IF($S6,$P$29*MAX(0,$R6-1*IF(OR(ISNUMBER(SEARCH($O6,L$5)), ISNUMBER(SEARCH($Q6,L$5)), (ISNUMBER(SEARCH("All",L$5)))),$R6,SUMPRODUCT(--((ISNUMBER(SEARCH("All",L$6:L$103)) + ISNUMBER(SEARCH($O6,L$6:L$103)) + ISNUMBER(SEARCH($Q6,L$6:L$103)) +  ISNUMBER(SEARCH($P6,L$6:L$103))) &gt; 0),$C$6:$C$103))),$S$30*$P$29*MAX(0,$R6-1*IF(OR(ISNUMBER(SEARCH($O6,L$5)), ISNUMBER(SEARCH($Q6,L$5)), (ISNUMBER(SEARCH("All",L$5)))),$R6,SUMPRODUCT(--((ISNUMBER(SEARCH("All",L$6:L$103)) + ISNUMBER(SEARCH($O6,L$6:L$103)) + ISNUMBER(SEARCH($Q6,L$6:L$103)) +  ISNUMBER(SEARCH($P6,L$6:L$103))) &gt; 0),$C$6:$C$103))))</f>
        <v>6.4</v>
      </c>
      <c r="AD6" s="1">
        <f t="array" ref="AD6">IF($S6,$P$29*MAX(0,$R6-1*IF(OR(ISNUMBER(SEARCH($O6,M$5)), ISNUMBER(SEARCH($Q6,M$5)), (ISNUMBER(SEARCH("All",M$5)))),$R6,SUMPRODUCT(--((ISNUMBER(SEARCH("All",M$6:M$103)) + ISNUMBER(SEARCH($O6,M$6:M$103)) + ISNUMBER(SEARCH($Q6,M$6:M$103)) +  ISNUMBER(SEARCH($P6,M$6:M$103))) &gt; 0),$C$6:$C$103))),$S$30*$P$29*MAX(0,$R6-1*IF(OR(ISNUMBER(SEARCH($O6,M$5)), ISNUMBER(SEARCH($Q6,M$5)), (ISNUMBER(SEARCH("All",M$5)))),$R6,SUMPRODUCT(--((ISNUMBER(SEARCH("All",M$6:M$103)) + ISNUMBER(SEARCH($O6,M$6:M$103)) + ISNUMBER(SEARCH($Q6,M$6:M$103)) +  ISNUMBER(SEARCH($P6,M$6:M$103))) &gt; 0),$C$6:$C$103))))</f>
        <v>6.4</v>
      </c>
      <c r="AE6" s="6"/>
      <c r="AF6" s="6">
        <f t="shared" si="6"/>
        <v>64</v>
      </c>
      <c r="AG6" s="6"/>
      <c r="AH6" s="6"/>
      <c r="AI6" s="6"/>
      <c r="AJ6" s="28">
        <f t="shared" ref="AJ6:AJ14" si="16">WORKDAY(AJ5,1)</f>
        <v>45170</v>
      </c>
      <c r="AK6" s="26"/>
      <c r="AL6" s="26"/>
      <c r="AM6" s="26"/>
      <c r="AN6" s="76" t="str">
        <f t="shared" si="7"/>
        <v/>
      </c>
      <c r="AO6" s="6"/>
      <c r="AP6" s="77" t="str">
        <f t="shared" si="8"/>
        <v/>
      </c>
      <c r="AQ6" s="78">
        <f t="shared" ref="AQ6:AQ14" si="17">AQ5+AU6</f>
        <v>0.14</v>
      </c>
      <c r="AR6" s="79">
        <f t="shared" si="9"/>
        <v>0</v>
      </c>
      <c r="AS6" s="80">
        <f t="shared" si="10"/>
        <v>0</v>
      </c>
      <c r="AT6" s="81" t="str">
        <f t="shared" ref="AT6:AT14" si="18">IF(AP6&lt;=100,AP6-AP5,"")</f>
        <v/>
      </c>
      <c r="AU6" s="82">
        <f>ROUND(V27,2)</f>
        <v>0.07</v>
      </c>
      <c r="AV6" s="79">
        <f t="shared" si="11"/>
        <v>0</v>
      </c>
      <c r="AW6" s="83">
        <f t="shared" si="12"/>
        <v>0</v>
      </c>
      <c r="AX6" s="79">
        <f t="shared" si="13"/>
        <v>0</v>
      </c>
      <c r="AY6" s="83">
        <f t="shared" si="14"/>
        <v>0</v>
      </c>
      <c r="AZ6" s="84" t="str">
        <f t="shared" ref="AZ6:AZ14" si="19">IF(AND(ISNUMBER(AK5),ISNUMBER(AK6)),(1-AK6/$AN$2)-(1-AK5/$AN$2),"")</f>
        <v/>
      </c>
      <c r="BA6" s="85">
        <f>ROUND(V$25,2)</f>
        <v>0.07</v>
      </c>
      <c r="BB6" s="81" t="str">
        <f t="shared" ref="BB6:BB14" si="20">IF(AND(ISNUMBER(AL5),ISNUMBER(AL6)),(1-AL6/$AO$2)-(1-AL5/$AO$2),"")</f>
        <v/>
      </c>
      <c r="BC6" s="85">
        <f>ROUND(V$26,2)</f>
        <v>0.07</v>
      </c>
      <c r="BD6" s="6" t="str">
        <f>V$4</f>
        <v>pt.</v>
      </c>
      <c r="BE6" s="29"/>
      <c r="BF6" s="29"/>
      <c r="BG6" s="37" t="str">
        <f t="shared" si="15"/>
        <v/>
      </c>
      <c r="BH6" s="38"/>
      <c r="BI6" s="26"/>
      <c r="BV6" s="6"/>
    </row>
    <row r="7">
      <c r="A7" s="7"/>
      <c r="B7" s="40"/>
      <c r="C7" s="6"/>
      <c r="D7" s="41"/>
      <c r="E7" s="6"/>
      <c r="F7" s="6"/>
      <c r="G7" s="6"/>
      <c r="H7" s="6"/>
      <c r="I7" s="6"/>
      <c r="J7" s="6"/>
      <c r="K7" s="6"/>
      <c r="L7" s="6"/>
      <c r="M7" s="42"/>
      <c r="N7" s="6"/>
      <c r="P7" s="1" t="s">
        <v>56</v>
      </c>
      <c r="Q7" s="1" t="s">
        <v>57</v>
      </c>
      <c r="R7" s="1">
        <v>8.0</v>
      </c>
      <c r="S7" s="26" t="b">
        <v>1</v>
      </c>
      <c r="T7" s="27">
        <f t="shared" si="5"/>
        <v>6.4</v>
      </c>
      <c r="U7" s="1">
        <f t="array" ref="U7">IF($S7,$P$29*MAX(0,$R7-1*IF(OR(ISNUMBER(SEARCH($O7,D$5)), ISNUMBER(SEARCH($Q7,D$5)), (ISNUMBER(SEARCH("All",D$5)))),$R7,SUMPRODUCT(--((ISNUMBER(SEARCH("All",D$6:D$103)) + ISNUMBER(SEARCH($O7,D$6:D$103)) + ISNUMBER(SEARCH($Q7,D$6:D$103)) +  ISNUMBER(SEARCH($P7,D$6:D$103))) &gt; 0),$C$6:$C$103))),$S$30*$P$29*MAX(0,$R7-1*IF(OR(ISNUMBER(SEARCH($O7,D$5)), ISNUMBER(SEARCH($Q7,D$5)), (ISNUMBER(SEARCH("All",D$5)))),$R7,SUMPRODUCT(--((ISNUMBER(SEARCH("All",D$6:D$103)) + ISNUMBER(SEARCH($O7,D$6:D$103)) + ISNUMBER(SEARCH($Q7,D$6:D$103)) +  ISNUMBER(SEARCH($P7,D$6:D$103))) &gt; 0),$C$6:$C$103))))</f>
        <v>6.4</v>
      </c>
      <c r="V7" s="1">
        <f t="array" ref="V7">IF($S7,$P$29*MAX(0,$R7-1*IF(OR(ISNUMBER(SEARCH($O7,E$5)), ISNUMBER(SEARCH($Q7,E$5)), (ISNUMBER(SEARCH("All",E$5)))),$R7,SUMPRODUCT(--((ISNUMBER(SEARCH("All",E$6:E$103)) + ISNUMBER(SEARCH($O7,E$6:E$103)) + ISNUMBER(SEARCH($Q7,E$6:E$103)) +  ISNUMBER(SEARCH($P7,E$6:E$103))) &gt; 0),$C$6:$C$103))),$S$30*$P$29*MAX(0,$R7-1*IF(OR(ISNUMBER(SEARCH($O7,E$5)), ISNUMBER(SEARCH($Q7,E$5)), (ISNUMBER(SEARCH("All",E$5)))),$R7,SUMPRODUCT(--((ISNUMBER(SEARCH("All",E$6:E$103)) + ISNUMBER(SEARCH($O7,E$6:E$103)) + ISNUMBER(SEARCH($Q7,E$6:E$103)) +  ISNUMBER(SEARCH($P7,E$6:E$103))) &gt; 0),$C$6:$C$103))))</f>
        <v>6.4</v>
      </c>
      <c r="W7" s="1">
        <f t="array" ref="W7">IF($S7,$P$29*MAX(0,$R7-1*IF(OR(ISNUMBER(SEARCH($O7,F$5)), ISNUMBER(SEARCH($Q7,F$5)), (ISNUMBER(SEARCH("All",F$5)))),$R7,SUMPRODUCT(--((ISNUMBER(SEARCH("All",F$6:F$103)) + ISNUMBER(SEARCH($O7,F$6:F$103)) + ISNUMBER(SEARCH($Q7,F$6:F$103)) +  ISNUMBER(SEARCH($P7,F$6:F$103))) &gt; 0),$C$6:$C$103))),$S$30*$P$29*MAX(0,$R7-1*IF(OR(ISNUMBER(SEARCH($O7,F$5)), ISNUMBER(SEARCH($Q7,F$5)), (ISNUMBER(SEARCH("All",F$5)))),$R7,SUMPRODUCT(--((ISNUMBER(SEARCH("All",F$6:F$103)) + ISNUMBER(SEARCH($O7,F$6:F$103)) + ISNUMBER(SEARCH($Q7,F$6:F$103)) +  ISNUMBER(SEARCH($P7,F$6:F$103))) &gt; 0),$C$6:$C$103))))</f>
        <v>6.4</v>
      </c>
      <c r="X7" s="1">
        <f t="array" ref="X7">IF($S7,$P$29*MAX(0,$R7-1*IF(OR(ISNUMBER(SEARCH($O7,G$5)), ISNUMBER(SEARCH($Q7,G$5)), (ISNUMBER(SEARCH("All",G$5)))),$R7,SUMPRODUCT(--((ISNUMBER(SEARCH("All",G$6:G$103)) + ISNUMBER(SEARCH($O7,G$6:G$103)) + ISNUMBER(SEARCH($Q7,G$6:G$103)) +  ISNUMBER(SEARCH($P7,G$6:G$103))) &gt; 0),$C$6:$C$103))),$S$30*$P$29*MAX(0,$R7-1*IF(OR(ISNUMBER(SEARCH($O7,G$5)), ISNUMBER(SEARCH($Q7,G$5)), (ISNUMBER(SEARCH("All",G$5)))),$R7,SUMPRODUCT(--((ISNUMBER(SEARCH("All",G$6:G$103)) + ISNUMBER(SEARCH($O7,G$6:G$103)) + ISNUMBER(SEARCH($Q7,G$6:G$103)) +  ISNUMBER(SEARCH($P7,G$6:G$103))) &gt; 0),$C$6:$C$103))))</f>
        <v>6.4</v>
      </c>
      <c r="Y7" s="1">
        <f t="array" ref="Y7">IF($S7,$P$29*MAX(0,$R7-1*IF(OR(ISNUMBER(SEARCH($O7,H$5)), ISNUMBER(SEARCH($Q7,H$5)), (ISNUMBER(SEARCH("All",H$5)))),$R7,SUMPRODUCT(--((ISNUMBER(SEARCH("All",H$6:H$103)) + ISNUMBER(SEARCH($O7,H$6:H$103)) + ISNUMBER(SEARCH($Q7,H$6:H$103)) +  ISNUMBER(SEARCH($P7,H$6:H$103))) &gt; 0),$C$6:$C$103))),$S$30*$P$29*MAX(0,$R7-1*IF(OR(ISNUMBER(SEARCH($O7,H$5)), ISNUMBER(SEARCH($Q7,H$5)), (ISNUMBER(SEARCH("All",H$5)))),$R7,SUMPRODUCT(--((ISNUMBER(SEARCH("All",H$6:H$103)) + ISNUMBER(SEARCH($O7,H$6:H$103)) + ISNUMBER(SEARCH($Q7,H$6:H$103)) +  ISNUMBER(SEARCH($P7,H$6:H$103))) &gt; 0),$C$6:$C$103))))</f>
        <v>6.4</v>
      </c>
      <c r="Z7" s="1">
        <f t="array" ref="Z7">IF($S7,$P$29*MAX(0,$R7-1*IF(OR(ISNUMBER(SEARCH($O7,I$5)), ISNUMBER(SEARCH($Q7,I$5)), (ISNUMBER(SEARCH("All",I$5)))),$R7,SUMPRODUCT(--((ISNUMBER(SEARCH("All",I$6:I$103)) + ISNUMBER(SEARCH($O7,I$6:I$103)) + ISNUMBER(SEARCH($Q7,I$6:I$103)) +  ISNUMBER(SEARCH($P7,I$6:I$103))) &gt; 0),$C$6:$C$103))),$S$30*$P$29*MAX(0,$R7-1*IF(OR(ISNUMBER(SEARCH($O7,I$5)), ISNUMBER(SEARCH($Q7,I$5)), (ISNUMBER(SEARCH("All",I$5)))),$R7,SUMPRODUCT(--((ISNUMBER(SEARCH("All",I$6:I$103)) + ISNUMBER(SEARCH($O7,I$6:I$103)) + ISNUMBER(SEARCH($Q7,I$6:I$103)) +  ISNUMBER(SEARCH($P7,I$6:I$103))) &gt; 0),$C$6:$C$103))))</f>
        <v>6.4</v>
      </c>
      <c r="AA7" s="1">
        <f t="array" ref="AA7">IF($S7,$P$29*MAX(0,$R7-1*IF(OR(ISNUMBER(SEARCH($O7,J$5)), ISNUMBER(SEARCH($Q7,J$5)), (ISNUMBER(SEARCH("All",J$5)))),$R7,SUMPRODUCT(--((ISNUMBER(SEARCH("All",J$6:J$103)) + ISNUMBER(SEARCH($O7,J$6:J$103)) + ISNUMBER(SEARCH($Q7,J$6:J$103)) +  ISNUMBER(SEARCH($P7,J$6:J$103))) &gt; 0),$C$6:$C$103))),$S$30*$P$29*MAX(0,$R7-1*IF(OR(ISNUMBER(SEARCH($O7,J$5)), ISNUMBER(SEARCH($Q7,J$5)), (ISNUMBER(SEARCH("All",J$5)))),$R7,SUMPRODUCT(--((ISNUMBER(SEARCH("All",J$6:J$103)) + ISNUMBER(SEARCH($O7,J$6:J$103)) + ISNUMBER(SEARCH($Q7,J$6:J$103)) +  ISNUMBER(SEARCH($P7,J$6:J$103))) &gt; 0),$C$6:$C$103))))</f>
        <v>6.4</v>
      </c>
      <c r="AB7" s="1">
        <f t="array" ref="AB7">IF($S7,$P$29*MAX(0,$R7-1*IF(OR(ISNUMBER(SEARCH($O7,K$5)), ISNUMBER(SEARCH($Q7,K$5)), (ISNUMBER(SEARCH("All",K$5)))),$R7,SUMPRODUCT(--((ISNUMBER(SEARCH("All",K$6:K$103)) + ISNUMBER(SEARCH($O7,K$6:K$103)) + ISNUMBER(SEARCH($Q7,K$6:K$103)) +  ISNUMBER(SEARCH($P7,K$6:K$103))) &gt; 0),$C$6:$C$103))),$S$30*$P$29*MAX(0,$R7-1*IF(OR(ISNUMBER(SEARCH($O7,K$5)), ISNUMBER(SEARCH($Q7,K$5)), (ISNUMBER(SEARCH("All",K$5)))),$R7,SUMPRODUCT(--((ISNUMBER(SEARCH("All",K$6:K$103)) + ISNUMBER(SEARCH($O7,K$6:K$103)) + ISNUMBER(SEARCH($Q7,K$6:K$103)) +  ISNUMBER(SEARCH($P7,K$6:K$103))) &gt; 0),$C$6:$C$103))))</f>
        <v>6.4</v>
      </c>
      <c r="AC7" s="1">
        <f t="array" ref="AC7">IF($S7,$P$29*MAX(0,$R7-1*IF(OR(ISNUMBER(SEARCH($O7,L$5)), ISNUMBER(SEARCH($Q7,L$5)), (ISNUMBER(SEARCH("All",L$5)))),$R7,SUMPRODUCT(--((ISNUMBER(SEARCH("All",L$6:L$103)) + ISNUMBER(SEARCH($O7,L$6:L$103)) + ISNUMBER(SEARCH($Q7,L$6:L$103)) +  ISNUMBER(SEARCH($P7,L$6:L$103))) &gt; 0),$C$6:$C$103))),$S$30*$P$29*MAX(0,$R7-1*IF(OR(ISNUMBER(SEARCH($O7,L$5)), ISNUMBER(SEARCH($Q7,L$5)), (ISNUMBER(SEARCH("All",L$5)))),$R7,SUMPRODUCT(--((ISNUMBER(SEARCH("All",L$6:L$103)) + ISNUMBER(SEARCH($O7,L$6:L$103)) + ISNUMBER(SEARCH($Q7,L$6:L$103)) +  ISNUMBER(SEARCH($P7,L$6:L$103))) &gt; 0),$C$6:$C$103))))</f>
        <v>6.4</v>
      </c>
      <c r="AD7" s="1">
        <f t="array" ref="AD7">IF($S7,$P$29*MAX(0,$R7-1*IF(OR(ISNUMBER(SEARCH($O7,M$5)), ISNUMBER(SEARCH($Q7,M$5)), (ISNUMBER(SEARCH("All",M$5)))),$R7,SUMPRODUCT(--((ISNUMBER(SEARCH("All",M$6:M$103)) + ISNUMBER(SEARCH($O7,M$6:M$103)) + ISNUMBER(SEARCH($Q7,M$6:M$103)) +  ISNUMBER(SEARCH($P7,M$6:M$103))) &gt; 0),$C$6:$C$103))),$S$30*$P$29*MAX(0,$R7-1*IF(OR(ISNUMBER(SEARCH($O7,M$5)), ISNUMBER(SEARCH($Q7,M$5)), (ISNUMBER(SEARCH("All",M$5)))),$R7,SUMPRODUCT(--((ISNUMBER(SEARCH("All",M$6:M$103)) + ISNUMBER(SEARCH($O7,M$6:M$103)) + ISNUMBER(SEARCH($Q7,M$6:M$103)) +  ISNUMBER(SEARCH($P7,M$6:M$103))) &gt; 0),$C$6:$C$103))))</f>
        <v>6.4</v>
      </c>
      <c r="AE7" s="6"/>
      <c r="AF7" s="6">
        <f t="shared" si="6"/>
        <v>64</v>
      </c>
      <c r="AG7" s="6"/>
      <c r="AH7" s="6"/>
      <c r="AI7" s="6"/>
      <c r="AJ7" s="28">
        <f t="shared" si="16"/>
        <v>45173</v>
      </c>
      <c r="AK7" s="26"/>
      <c r="AL7" s="26"/>
      <c r="AM7" s="26"/>
      <c r="AN7" s="76" t="str">
        <f t="shared" si="7"/>
        <v/>
      </c>
      <c r="AO7" s="6"/>
      <c r="AP7" s="77" t="str">
        <f t="shared" si="8"/>
        <v/>
      </c>
      <c r="AQ7" s="78">
        <f t="shared" si="17"/>
        <v>0.21</v>
      </c>
      <c r="AR7" s="79">
        <f t="shared" si="9"/>
        <v>0</v>
      </c>
      <c r="AS7" s="80">
        <f t="shared" si="10"/>
        <v>0</v>
      </c>
      <c r="AT7" s="81" t="str">
        <f t="shared" si="18"/>
        <v/>
      </c>
      <c r="AU7" s="82">
        <f>ROUND(W27,2)</f>
        <v>0.07</v>
      </c>
      <c r="AV7" s="79">
        <f t="shared" si="11"/>
        <v>0</v>
      </c>
      <c r="AW7" s="83">
        <f t="shared" si="12"/>
        <v>0</v>
      </c>
      <c r="AX7" s="79">
        <f t="shared" si="13"/>
        <v>0</v>
      </c>
      <c r="AY7" s="83">
        <f t="shared" si="14"/>
        <v>0</v>
      </c>
      <c r="AZ7" s="84" t="str">
        <f t="shared" si="19"/>
        <v/>
      </c>
      <c r="BA7" s="85">
        <f>ROUND(W$25,2)</f>
        <v>0.07</v>
      </c>
      <c r="BB7" s="81" t="str">
        <f t="shared" si="20"/>
        <v/>
      </c>
      <c r="BC7" s="85">
        <f>ROUND(W$26,2)</f>
        <v>0.07</v>
      </c>
      <c r="BD7" s="6" t="str">
        <f>W$4</f>
        <v>pon.</v>
      </c>
      <c r="BE7" s="29"/>
      <c r="BF7" s="29"/>
      <c r="BG7" s="37" t="str">
        <f t="shared" si="15"/>
        <v/>
      </c>
      <c r="BH7" s="38"/>
      <c r="BI7" s="26"/>
      <c r="BV7" s="6"/>
    </row>
    <row r="8">
      <c r="A8" s="7"/>
      <c r="B8" s="40"/>
      <c r="C8" s="6"/>
      <c r="D8" s="6"/>
      <c r="E8" s="6"/>
      <c r="F8" s="6"/>
      <c r="G8" s="6"/>
      <c r="H8" s="6"/>
      <c r="I8" s="6"/>
      <c r="J8" s="6"/>
      <c r="K8" s="6"/>
      <c r="L8" s="6"/>
      <c r="M8" s="42"/>
      <c r="N8" s="6"/>
      <c r="P8" s="1" t="s">
        <v>58</v>
      </c>
      <c r="Q8" s="1" t="s">
        <v>57</v>
      </c>
      <c r="R8" s="1">
        <v>8.0</v>
      </c>
      <c r="S8" s="26" t="b">
        <v>1</v>
      </c>
      <c r="T8" s="27">
        <f t="shared" si="5"/>
        <v>6.4</v>
      </c>
      <c r="U8" s="1">
        <f t="array" ref="U8">IF($S8,$P$29*MAX(0,$R8-1*IF(OR(ISNUMBER(SEARCH($O8,D$5)), ISNUMBER(SEARCH($Q8,D$5)), (ISNUMBER(SEARCH("All",D$5)))),$R8,SUMPRODUCT(--((ISNUMBER(SEARCH("All",D$6:D$103)) + ISNUMBER(SEARCH($O8,D$6:D$103)) + ISNUMBER(SEARCH($Q8,D$6:D$103)) +  ISNUMBER(SEARCH($P8,D$6:D$103))) &gt; 0),$C$6:$C$103))),$S$30*$P$29*MAX(0,$R8-1*IF(OR(ISNUMBER(SEARCH($O8,D$5)), ISNUMBER(SEARCH($Q8,D$5)), (ISNUMBER(SEARCH("All",D$5)))),$R8,SUMPRODUCT(--((ISNUMBER(SEARCH("All",D$6:D$103)) + ISNUMBER(SEARCH($O8,D$6:D$103)) + ISNUMBER(SEARCH($Q8,D$6:D$103)) +  ISNUMBER(SEARCH($P8,D$6:D$103))) &gt; 0),$C$6:$C$103))))</f>
        <v>6.4</v>
      </c>
      <c r="V8" s="1">
        <f t="array" ref="V8">IF($S8,$P$29*MAX(0,$R8-1*IF(OR(ISNUMBER(SEARCH($O8,E$5)), ISNUMBER(SEARCH($Q8,E$5)), (ISNUMBER(SEARCH("All",E$5)))),$R8,SUMPRODUCT(--((ISNUMBER(SEARCH("All",E$6:E$103)) + ISNUMBER(SEARCH($O8,E$6:E$103)) + ISNUMBER(SEARCH($Q8,E$6:E$103)) +  ISNUMBER(SEARCH($P8,E$6:E$103))) &gt; 0),$C$6:$C$103))),$S$30*$P$29*MAX(0,$R8-1*IF(OR(ISNUMBER(SEARCH($O8,E$5)), ISNUMBER(SEARCH($Q8,E$5)), (ISNUMBER(SEARCH("All",E$5)))),$R8,SUMPRODUCT(--((ISNUMBER(SEARCH("All",E$6:E$103)) + ISNUMBER(SEARCH($O8,E$6:E$103)) + ISNUMBER(SEARCH($Q8,E$6:E$103)) +  ISNUMBER(SEARCH($P8,E$6:E$103))) &gt; 0),$C$6:$C$103))))</f>
        <v>6.4</v>
      </c>
      <c r="W8" s="1">
        <f t="array" ref="W8">IF($S8,$P$29*MAX(0,$R8-1*IF(OR(ISNUMBER(SEARCH($O8,F$5)), ISNUMBER(SEARCH($Q8,F$5)), (ISNUMBER(SEARCH("All",F$5)))),$R8,SUMPRODUCT(--((ISNUMBER(SEARCH("All",F$6:F$103)) + ISNUMBER(SEARCH($O8,F$6:F$103)) + ISNUMBER(SEARCH($Q8,F$6:F$103)) +  ISNUMBER(SEARCH($P8,F$6:F$103))) &gt; 0),$C$6:$C$103))),$S$30*$P$29*MAX(0,$R8-1*IF(OR(ISNUMBER(SEARCH($O8,F$5)), ISNUMBER(SEARCH($Q8,F$5)), (ISNUMBER(SEARCH("All",F$5)))),$R8,SUMPRODUCT(--((ISNUMBER(SEARCH("All",F$6:F$103)) + ISNUMBER(SEARCH($O8,F$6:F$103)) + ISNUMBER(SEARCH($Q8,F$6:F$103)) +  ISNUMBER(SEARCH($P8,F$6:F$103))) &gt; 0),$C$6:$C$103))))</f>
        <v>6.4</v>
      </c>
      <c r="X8" s="1">
        <f t="array" ref="X8">IF($S8,$P$29*MAX(0,$R8-1*IF(OR(ISNUMBER(SEARCH($O8,G$5)), ISNUMBER(SEARCH($Q8,G$5)), (ISNUMBER(SEARCH("All",G$5)))),$R8,SUMPRODUCT(--((ISNUMBER(SEARCH("All",G$6:G$103)) + ISNUMBER(SEARCH($O8,G$6:G$103)) + ISNUMBER(SEARCH($Q8,G$6:G$103)) +  ISNUMBER(SEARCH($P8,G$6:G$103))) &gt; 0),$C$6:$C$103))),$S$30*$P$29*MAX(0,$R8-1*IF(OR(ISNUMBER(SEARCH($O8,G$5)), ISNUMBER(SEARCH($Q8,G$5)), (ISNUMBER(SEARCH("All",G$5)))),$R8,SUMPRODUCT(--((ISNUMBER(SEARCH("All",G$6:G$103)) + ISNUMBER(SEARCH($O8,G$6:G$103)) + ISNUMBER(SEARCH($Q8,G$6:G$103)) +  ISNUMBER(SEARCH($P8,G$6:G$103))) &gt; 0),$C$6:$C$103))))</f>
        <v>6.4</v>
      </c>
      <c r="Y8" s="1">
        <f t="array" ref="Y8">IF($S8,$P$29*MAX(0,$R8-1*IF(OR(ISNUMBER(SEARCH($O8,H$5)), ISNUMBER(SEARCH($Q8,H$5)), (ISNUMBER(SEARCH("All",H$5)))),$R8,SUMPRODUCT(--((ISNUMBER(SEARCH("All",H$6:H$103)) + ISNUMBER(SEARCH($O8,H$6:H$103)) + ISNUMBER(SEARCH($Q8,H$6:H$103)) +  ISNUMBER(SEARCH($P8,H$6:H$103))) &gt; 0),$C$6:$C$103))),$S$30*$P$29*MAX(0,$R8-1*IF(OR(ISNUMBER(SEARCH($O8,H$5)), ISNUMBER(SEARCH($Q8,H$5)), (ISNUMBER(SEARCH("All",H$5)))),$R8,SUMPRODUCT(--((ISNUMBER(SEARCH("All",H$6:H$103)) + ISNUMBER(SEARCH($O8,H$6:H$103)) + ISNUMBER(SEARCH($Q8,H$6:H$103)) +  ISNUMBER(SEARCH($P8,H$6:H$103))) &gt; 0),$C$6:$C$103))))</f>
        <v>6.4</v>
      </c>
      <c r="Z8" s="1">
        <f t="array" ref="Z8">IF($S8,$P$29*MAX(0,$R8-1*IF(OR(ISNUMBER(SEARCH($O8,I$5)), ISNUMBER(SEARCH($Q8,I$5)), (ISNUMBER(SEARCH("All",I$5)))),$R8,SUMPRODUCT(--((ISNUMBER(SEARCH("All",I$6:I$103)) + ISNUMBER(SEARCH($O8,I$6:I$103)) + ISNUMBER(SEARCH($Q8,I$6:I$103)) +  ISNUMBER(SEARCH($P8,I$6:I$103))) &gt; 0),$C$6:$C$103))),$S$30*$P$29*MAX(0,$R8-1*IF(OR(ISNUMBER(SEARCH($O8,I$5)), ISNUMBER(SEARCH($Q8,I$5)), (ISNUMBER(SEARCH("All",I$5)))),$R8,SUMPRODUCT(--((ISNUMBER(SEARCH("All",I$6:I$103)) + ISNUMBER(SEARCH($O8,I$6:I$103)) + ISNUMBER(SEARCH($Q8,I$6:I$103)) +  ISNUMBER(SEARCH($P8,I$6:I$103))) &gt; 0),$C$6:$C$103))))</f>
        <v>6.4</v>
      </c>
      <c r="AA8" s="1">
        <f t="array" ref="AA8">IF($S8,$P$29*MAX(0,$R8-1*IF(OR(ISNUMBER(SEARCH($O8,J$5)), ISNUMBER(SEARCH($Q8,J$5)), (ISNUMBER(SEARCH("All",J$5)))),$R8,SUMPRODUCT(--((ISNUMBER(SEARCH("All",J$6:J$103)) + ISNUMBER(SEARCH($O8,J$6:J$103)) + ISNUMBER(SEARCH($Q8,J$6:J$103)) +  ISNUMBER(SEARCH($P8,J$6:J$103))) &gt; 0),$C$6:$C$103))),$S$30*$P$29*MAX(0,$R8-1*IF(OR(ISNUMBER(SEARCH($O8,J$5)), ISNUMBER(SEARCH($Q8,J$5)), (ISNUMBER(SEARCH("All",J$5)))),$R8,SUMPRODUCT(--((ISNUMBER(SEARCH("All",J$6:J$103)) + ISNUMBER(SEARCH($O8,J$6:J$103)) + ISNUMBER(SEARCH($Q8,J$6:J$103)) +  ISNUMBER(SEARCH($P8,J$6:J$103))) &gt; 0),$C$6:$C$103))))</f>
        <v>6.4</v>
      </c>
      <c r="AB8" s="1">
        <f t="array" ref="AB8">IF($S8,$P$29*MAX(0,$R8-1*IF(OR(ISNUMBER(SEARCH($O8,K$5)), ISNUMBER(SEARCH($Q8,K$5)), (ISNUMBER(SEARCH("All",K$5)))),$R8,SUMPRODUCT(--((ISNUMBER(SEARCH("All",K$6:K$103)) + ISNUMBER(SEARCH($O8,K$6:K$103)) + ISNUMBER(SEARCH($Q8,K$6:K$103)) +  ISNUMBER(SEARCH($P8,K$6:K$103))) &gt; 0),$C$6:$C$103))),$S$30*$P$29*MAX(0,$R8-1*IF(OR(ISNUMBER(SEARCH($O8,K$5)), ISNUMBER(SEARCH($Q8,K$5)), (ISNUMBER(SEARCH("All",K$5)))),$R8,SUMPRODUCT(--((ISNUMBER(SEARCH("All",K$6:K$103)) + ISNUMBER(SEARCH($O8,K$6:K$103)) + ISNUMBER(SEARCH($Q8,K$6:K$103)) +  ISNUMBER(SEARCH($P8,K$6:K$103))) &gt; 0),$C$6:$C$103))))</f>
        <v>6.4</v>
      </c>
      <c r="AC8" s="1">
        <f t="array" ref="AC8">IF($S8,$P$29*MAX(0,$R8-1*IF(OR(ISNUMBER(SEARCH($O8,L$5)), ISNUMBER(SEARCH($Q8,L$5)), (ISNUMBER(SEARCH("All",L$5)))),$R8,SUMPRODUCT(--((ISNUMBER(SEARCH("All",L$6:L$103)) + ISNUMBER(SEARCH($O8,L$6:L$103)) + ISNUMBER(SEARCH($Q8,L$6:L$103)) +  ISNUMBER(SEARCH($P8,L$6:L$103))) &gt; 0),$C$6:$C$103))),$S$30*$P$29*MAX(0,$R8-1*IF(OR(ISNUMBER(SEARCH($O8,L$5)), ISNUMBER(SEARCH($Q8,L$5)), (ISNUMBER(SEARCH("All",L$5)))),$R8,SUMPRODUCT(--((ISNUMBER(SEARCH("All",L$6:L$103)) + ISNUMBER(SEARCH($O8,L$6:L$103)) + ISNUMBER(SEARCH($Q8,L$6:L$103)) +  ISNUMBER(SEARCH($P8,L$6:L$103))) &gt; 0),$C$6:$C$103))))</f>
        <v>6.4</v>
      </c>
      <c r="AD8" s="1">
        <f t="array" ref="AD8">IF($S8,$P$29*MAX(0,$R8-1*IF(OR(ISNUMBER(SEARCH($O8,M$5)), ISNUMBER(SEARCH($Q8,M$5)), (ISNUMBER(SEARCH("All",M$5)))),$R8,SUMPRODUCT(--((ISNUMBER(SEARCH("All",M$6:M$103)) + ISNUMBER(SEARCH($O8,M$6:M$103)) + ISNUMBER(SEARCH($Q8,M$6:M$103)) +  ISNUMBER(SEARCH($P8,M$6:M$103))) &gt; 0),$C$6:$C$103))),$S$30*$P$29*MAX(0,$R8-1*IF(OR(ISNUMBER(SEARCH($O8,M$5)), ISNUMBER(SEARCH($Q8,M$5)), (ISNUMBER(SEARCH("All",M$5)))),$R8,SUMPRODUCT(--((ISNUMBER(SEARCH("All",M$6:M$103)) + ISNUMBER(SEARCH($O8,M$6:M$103)) + ISNUMBER(SEARCH($Q8,M$6:M$103)) +  ISNUMBER(SEARCH($P8,M$6:M$103))) &gt; 0),$C$6:$C$103))))</f>
        <v>6.4</v>
      </c>
      <c r="AE8" s="6"/>
      <c r="AF8" s="6">
        <f t="shared" si="6"/>
        <v>64</v>
      </c>
      <c r="AG8" s="6"/>
      <c r="AH8" s="6"/>
      <c r="AI8" s="6"/>
      <c r="AJ8" s="28">
        <f t="shared" si="16"/>
        <v>45174</v>
      </c>
      <c r="AK8" s="26"/>
      <c r="AL8" s="26"/>
      <c r="AM8" s="26"/>
      <c r="AN8" s="76" t="str">
        <f t="shared" si="7"/>
        <v/>
      </c>
      <c r="AO8" s="6"/>
      <c r="AP8" s="77" t="str">
        <f t="shared" si="8"/>
        <v/>
      </c>
      <c r="AQ8" s="78">
        <f t="shared" si="17"/>
        <v>0.28</v>
      </c>
      <c r="AR8" s="79">
        <f t="shared" si="9"/>
        <v>0</v>
      </c>
      <c r="AS8" s="80">
        <f t="shared" si="10"/>
        <v>0</v>
      </c>
      <c r="AT8" s="81" t="str">
        <f t="shared" si="18"/>
        <v/>
      </c>
      <c r="AU8" s="82">
        <f>ROUND(X27,2)</f>
        <v>0.07</v>
      </c>
      <c r="AV8" s="79">
        <f t="shared" si="11"/>
        <v>0</v>
      </c>
      <c r="AW8" s="83">
        <f t="shared" si="12"/>
        <v>0</v>
      </c>
      <c r="AX8" s="79">
        <f t="shared" si="13"/>
        <v>0</v>
      </c>
      <c r="AY8" s="83">
        <f t="shared" si="14"/>
        <v>0</v>
      </c>
      <c r="AZ8" s="84" t="str">
        <f t="shared" si="19"/>
        <v/>
      </c>
      <c r="BA8" s="85">
        <f>ROUND(X$25,2)</f>
        <v>0.07</v>
      </c>
      <c r="BB8" s="81" t="str">
        <f t="shared" si="20"/>
        <v/>
      </c>
      <c r="BC8" s="85">
        <f>ROUND(X$26,2)</f>
        <v>0.07</v>
      </c>
      <c r="BD8" s="6" t="str">
        <f>X$4</f>
        <v>wt.</v>
      </c>
      <c r="BE8" s="29"/>
      <c r="BF8" s="29"/>
      <c r="BG8" s="37" t="str">
        <f t="shared" si="15"/>
        <v/>
      </c>
      <c r="BH8" s="38"/>
      <c r="BI8" s="26"/>
      <c r="BV8" s="6"/>
    </row>
    <row r="9">
      <c r="A9" s="7"/>
      <c r="B9" s="40"/>
      <c r="C9" s="6"/>
      <c r="D9" s="6"/>
      <c r="E9" s="6"/>
      <c r="F9" s="6"/>
      <c r="G9" s="6"/>
      <c r="H9" s="6"/>
      <c r="I9" s="6"/>
      <c r="J9" s="6"/>
      <c r="K9" s="6"/>
      <c r="L9" s="6"/>
      <c r="M9" s="42"/>
      <c r="N9" s="6"/>
      <c r="P9" s="1" t="s">
        <v>56</v>
      </c>
      <c r="Q9" s="1" t="s">
        <v>57</v>
      </c>
      <c r="R9" s="1">
        <v>7.0</v>
      </c>
      <c r="S9" s="26" t="b">
        <v>1</v>
      </c>
      <c r="T9" s="27">
        <f t="shared" si="5"/>
        <v>5.6</v>
      </c>
      <c r="U9" s="1">
        <f t="array" ref="U9">IF($S9,$P$29*MAX(0,$R9-1*IF(OR(ISNUMBER(SEARCH($O9,D$5)), ISNUMBER(SEARCH($Q9,D$5)), (ISNUMBER(SEARCH("All",D$5)))),$R9,SUMPRODUCT(--((ISNUMBER(SEARCH("All",D$6:D$103)) + ISNUMBER(SEARCH($O9,D$6:D$103)) + ISNUMBER(SEARCH($Q9,D$6:D$103)) +  ISNUMBER(SEARCH($P9,D$6:D$103))) &gt; 0),$C$6:$C$103))),$S$30*$P$29*MAX(0,$R9-1*IF(OR(ISNUMBER(SEARCH($O9,D$5)), ISNUMBER(SEARCH($Q9,D$5)), (ISNUMBER(SEARCH("All",D$5)))),$R9,SUMPRODUCT(--((ISNUMBER(SEARCH("All",D$6:D$103)) + ISNUMBER(SEARCH($O9,D$6:D$103)) + ISNUMBER(SEARCH($Q9,D$6:D$103)) +  ISNUMBER(SEARCH($P9,D$6:D$103))) &gt; 0),$C$6:$C$103))))</f>
        <v>5.6</v>
      </c>
      <c r="V9" s="1">
        <f t="array" ref="V9">IF($S9,$P$29*MAX(0,$R9-1*IF(OR(ISNUMBER(SEARCH($O9,E$5)), ISNUMBER(SEARCH($Q9,E$5)), (ISNUMBER(SEARCH("All",E$5)))),$R9,SUMPRODUCT(--((ISNUMBER(SEARCH("All",E$6:E$103)) + ISNUMBER(SEARCH($O9,E$6:E$103)) + ISNUMBER(SEARCH($Q9,E$6:E$103)) +  ISNUMBER(SEARCH($P9,E$6:E$103))) &gt; 0),$C$6:$C$103))),$S$30*$P$29*MAX(0,$R9-1*IF(OR(ISNUMBER(SEARCH($O9,E$5)), ISNUMBER(SEARCH($Q9,E$5)), (ISNUMBER(SEARCH("All",E$5)))),$R9,SUMPRODUCT(--((ISNUMBER(SEARCH("All",E$6:E$103)) + ISNUMBER(SEARCH($O9,E$6:E$103)) + ISNUMBER(SEARCH($Q9,E$6:E$103)) +  ISNUMBER(SEARCH($P9,E$6:E$103))) &gt; 0),$C$6:$C$103))))</f>
        <v>5.6</v>
      </c>
      <c r="W9" s="1">
        <f t="array" ref="W9">IF($S9,$P$29*MAX(0,$R9-1*IF(OR(ISNUMBER(SEARCH($O9,F$5)), ISNUMBER(SEARCH($Q9,F$5)), (ISNUMBER(SEARCH("All",F$5)))),$R9,SUMPRODUCT(--((ISNUMBER(SEARCH("All",F$6:F$103)) + ISNUMBER(SEARCH($O9,F$6:F$103)) + ISNUMBER(SEARCH($Q9,F$6:F$103)) +  ISNUMBER(SEARCH($P9,F$6:F$103))) &gt; 0),$C$6:$C$103))),$S$30*$P$29*MAX(0,$R9-1*IF(OR(ISNUMBER(SEARCH($O9,F$5)), ISNUMBER(SEARCH($Q9,F$5)), (ISNUMBER(SEARCH("All",F$5)))),$R9,SUMPRODUCT(--((ISNUMBER(SEARCH("All",F$6:F$103)) + ISNUMBER(SEARCH($O9,F$6:F$103)) + ISNUMBER(SEARCH($Q9,F$6:F$103)) +  ISNUMBER(SEARCH($P9,F$6:F$103))) &gt; 0),$C$6:$C$103))))</f>
        <v>5.6</v>
      </c>
      <c r="X9" s="1">
        <f t="array" ref="X9">IF($S9,$P$29*MAX(0,$R9-1*IF(OR(ISNUMBER(SEARCH($O9,G$5)), ISNUMBER(SEARCH($Q9,G$5)), (ISNUMBER(SEARCH("All",G$5)))),$R9,SUMPRODUCT(--((ISNUMBER(SEARCH("All",G$6:G$103)) + ISNUMBER(SEARCH($O9,G$6:G$103)) + ISNUMBER(SEARCH($Q9,G$6:G$103)) +  ISNUMBER(SEARCH($P9,G$6:G$103))) &gt; 0),$C$6:$C$103))),$S$30*$P$29*MAX(0,$R9-1*IF(OR(ISNUMBER(SEARCH($O9,G$5)), ISNUMBER(SEARCH($Q9,G$5)), (ISNUMBER(SEARCH("All",G$5)))),$R9,SUMPRODUCT(--((ISNUMBER(SEARCH("All",G$6:G$103)) + ISNUMBER(SEARCH($O9,G$6:G$103)) + ISNUMBER(SEARCH($Q9,G$6:G$103)) +  ISNUMBER(SEARCH($P9,G$6:G$103))) &gt; 0),$C$6:$C$103))))</f>
        <v>5.6</v>
      </c>
      <c r="Y9" s="1">
        <f t="array" ref="Y9">IF($S9,$P$29*MAX(0,$R9-1*IF(OR(ISNUMBER(SEARCH($O9,H$5)), ISNUMBER(SEARCH($Q9,H$5)), (ISNUMBER(SEARCH("All",H$5)))),$R9,SUMPRODUCT(--((ISNUMBER(SEARCH("All",H$6:H$103)) + ISNUMBER(SEARCH($O9,H$6:H$103)) + ISNUMBER(SEARCH($Q9,H$6:H$103)) +  ISNUMBER(SEARCH($P9,H$6:H$103))) &gt; 0),$C$6:$C$103))),$S$30*$P$29*MAX(0,$R9-1*IF(OR(ISNUMBER(SEARCH($O9,H$5)), ISNUMBER(SEARCH($Q9,H$5)), (ISNUMBER(SEARCH("All",H$5)))),$R9,SUMPRODUCT(--((ISNUMBER(SEARCH("All",H$6:H$103)) + ISNUMBER(SEARCH($O9,H$6:H$103)) + ISNUMBER(SEARCH($Q9,H$6:H$103)) +  ISNUMBER(SEARCH($P9,H$6:H$103))) &gt; 0),$C$6:$C$103))))</f>
        <v>5.6</v>
      </c>
      <c r="Z9" s="1">
        <f t="array" ref="Z9">IF($S9,$P$29*MAX(0,$R9-1*IF(OR(ISNUMBER(SEARCH($O9,I$5)), ISNUMBER(SEARCH($Q9,I$5)), (ISNUMBER(SEARCH("All",I$5)))),$R9,SUMPRODUCT(--((ISNUMBER(SEARCH("All",I$6:I$103)) + ISNUMBER(SEARCH($O9,I$6:I$103)) + ISNUMBER(SEARCH($Q9,I$6:I$103)) +  ISNUMBER(SEARCH($P9,I$6:I$103))) &gt; 0),$C$6:$C$103))),$S$30*$P$29*MAX(0,$R9-1*IF(OR(ISNUMBER(SEARCH($O9,I$5)), ISNUMBER(SEARCH($Q9,I$5)), (ISNUMBER(SEARCH("All",I$5)))),$R9,SUMPRODUCT(--((ISNUMBER(SEARCH("All",I$6:I$103)) + ISNUMBER(SEARCH($O9,I$6:I$103)) + ISNUMBER(SEARCH($Q9,I$6:I$103)) +  ISNUMBER(SEARCH($P9,I$6:I$103))) &gt; 0),$C$6:$C$103))))</f>
        <v>5.6</v>
      </c>
      <c r="AA9" s="1">
        <f t="array" ref="AA9">IF($S9,$P$29*MAX(0,$R9-1*IF(OR(ISNUMBER(SEARCH($O9,J$5)), ISNUMBER(SEARCH($Q9,J$5)), (ISNUMBER(SEARCH("All",J$5)))),$R9,SUMPRODUCT(--((ISNUMBER(SEARCH("All",J$6:J$103)) + ISNUMBER(SEARCH($O9,J$6:J$103)) + ISNUMBER(SEARCH($Q9,J$6:J$103)) +  ISNUMBER(SEARCH($P9,J$6:J$103))) &gt; 0),$C$6:$C$103))),$S$30*$P$29*MAX(0,$R9-1*IF(OR(ISNUMBER(SEARCH($O9,J$5)), ISNUMBER(SEARCH($Q9,J$5)), (ISNUMBER(SEARCH("All",J$5)))),$R9,SUMPRODUCT(--((ISNUMBER(SEARCH("All",J$6:J$103)) + ISNUMBER(SEARCH($O9,J$6:J$103)) + ISNUMBER(SEARCH($Q9,J$6:J$103)) +  ISNUMBER(SEARCH($P9,J$6:J$103))) &gt; 0),$C$6:$C$103))))</f>
        <v>5.6</v>
      </c>
      <c r="AB9" s="1">
        <f t="array" ref="AB9">IF($S9,$P$29*MAX(0,$R9-1*IF(OR(ISNUMBER(SEARCH($O9,K$5)), ISNUMBER(SEARCH($Q9,K$5)), (ISNUMBER(SEARCH("All",K$5)))),$R9,SUMPRODUCT(--((ISNUMBER(SEARCH("All",K$6:K$103)) + ISNUMBER(SEARCH($O9,K$6:K$103)) + ISNUMBER(SEARCH($Q9,K$6:K$103)) +  ISNUMBER(SEARCH($P9,K$6:K$103))) &gt; 0),$C$6:$C$103))),$S$30*$P$29*MAX(0,$R9-1*IF(OR(ISNUMBER(SEARCH($O9,K$5)), ISNUMBER(SEARCH($Q9,K$5)), (ISNUMBER(SEARCH("All",K$5)))),$R9,SUMPRODUCT(--((ISNUMBER(SEARCH("All",K$6:K$103)) + ISNUMBER(SEARCH($O9,K$6:K$103)) + ISNUMBER(SEARCH($Q9,K$6:K$103)) +  ISNUMBER(SEARCH($P9,K$6:K$103))) &gt; 0),$C$6:$C$103))))</f>
        <v>5.6</v>
      </c>
      <c r="AC9" s="1">
        <f t="array" ref="AC9">IF($S9,$P$29*MAX(0,$R9-1*IF(OR(ISNUMBER(SEARCH($O9,L$5)), ISNUMBER(SEARCH($Q9,L$5)), (ISNUMBER(SEARCH("All",L$5)))),$R9,SUMPRODUCT(--((ISNUMBER(SEARCH("All",L$6:L$103)) + ISNUMBER(SEARCH($O9,L$6:L$103)) + ISNUMBER(SEARCH($Q9,L$6:L$103)) +  ISNUMBER(SEARCH($P9,L$6:L$103))) &gt; 0),$C$6:$C$103))),$S$30*$P$29*MAX(0,$R9-1*IF(OR(ISNUMBER(SEARCH($O9,L$5)), ISNUMBER(SEARCH($Q9,L$5)), (ISNUMBER(SEARCH("All",L$5)))),$R9,SUMPRODUCT(--((ISNUMBER(SEARCH("All",L$6:L$103)) + ISNUMBER(SEARCH($O9,L$6:L$103)) + ISNUMBER(SEARCH($Q9,L$6:L$103)) +  ISNUMBER(SEARCH($P9,L$6:L$103))) &gt; 0),$C$6:$C$103))))</f>
        <v>5.6</v>
      </c>
      <c r="AD9" s="1">
        <f t="array" ref="AD9">IF($S9,$P$29*MAX(0,$R9-1*IF(OR(ISNUMBER(SEARCH($O9,M$5)), ISNUMBER(SEARCH($Q9,M$5)), (ISNUMBER(SEARCH("All",M$5)))),$R9,SUMPRODUCT(--((ISNUMBER(SEARCH("All",M$6:M$103)) + ISNUMBER(SEARCH($O9,M$6:M$103)) + ISNUMBER(SEARCH($Q9,M$6:M$103)) +  ISNUMBER(SEARCH($P9,M$6:M$103))) &gt; 0),$C$6:$C$103))),$S$30*$P$29*MAX(0,$R9-1*IF(OR(ISNUMBER(SEARCH($O9,M$5)), ISNUMBER(SEARCH($Q9,M$5)), (ISNUMBER(SEARCH("All",M$5)))),$R9,SUMPRODUCT(--((ISNUMBER(SEARCH("All",M$6:M$103)) + ISNUMBER(SEARCH($O9,M$6:M$103)) + ISNUMBER(SEARCH($Q9,M$6:M$103)) +  ISNUMBER(SEARCH($P9,M$6:M$103))) &gt; 0),$C$6:$C$103))))</f>
        <v>5.6</v>
      </c>
      <c r="AE9" s="6"/>
      <c r="AF9" s="6">
        <f t="shared" si="6"/>
        <v>56</v>
      </c>
      <c r="AG9" s="6"/>
      <c r="AH9" s="6"/>
      <c r="AI9" s="6"/>
      <c r="AJ9" s="28">
        <f t="shared" si="16"/>
        <v>45175</v>
      </c>
      <c r="AK9" s="26"/>
      <c r="AL9" s="26"/>
      <c r="AM9" s="26"/>
      <c r="AN9" s="76" t="str">
        <f t="shared" si="7"/>
        <v/>
      </c>
      <c r="AO9" s="6"/>
      <c r="AP9" s="77" t="str">
        <f t="shared" si="8"/>
        <v/>
      </c>
      <c r="AQ9" s="78">
        <f t="shared" si="17"/>
        <v>0.35</v>
      </c>
      <c r="AR9" s="79">
        <f t="shared" si="9"/>
        <v>0</v>
      </c>
      <c r="AS9" s="80">
        <f t="shared" si="10"/>
        <v>0</v>
      </c>
      <c r="AT9" s="81" t="str">
        <f t="shared" si="18"/>
        <v/>
      </c>
      <c r="AU9" s="82">
        <f>ROUND(Y27,2)</f>
        <v>0.07</v>
      </c>
      <c r="AV9" s="79">
        <f t="shared" si="11"/>
        <v>0</v>
      </c>
      <c r="AW9" s="83">
        <f t="shared" si="12"/>
        <v>0</v>
      </c>
      <c r="AX9" s="79">
        <f t="shared" si="13"/>
        <v>0</v>
      </c>
      <c r="AY9" s="83">
        <f t="shared" si="14"/>
        <v>0</v>
      </c>
      <c r="AZ9" s="84" t="str">
        <f t="shared" si="19"/>
        <v/>
      </c>
      <c r="BA9" s="85">
        <f>ROUND(Y$25,2)</f>
        <v>0.07</v>
      </c>
      <c r="BB9" s="81" t="str">
        <f t="shared" si="20"/>
        <v/>
      </c>
      <c r="BC9" s="85">
        <f>ROUND(Y$26,2)</f>
        <v>0.07</v>
      </c>
      <c r="BD9" s="6" t="str">
        <f>Y$4</f>
        <v>śr.</v>
      </c>
      <c r="BE9" s="29"/>
      <c r="BF9" s="29"/>
      <c r="BG9" s="37" t="str">
        <f t="shared" si="15"/>
        <v/>
      </c>
      <c r="BH9" s="38"/>
      <c r="BI9" s="26"/>
      <c r="BV9" s="6"/>
    </row>
    <row r="10">
      <c r="A10" s="7"/>
      <c r="B10" s="40"/>
      <c r="C10" s="6"/>
      <c r="D10" s="6"/>
      <c r="E10" s="6"/>
      <c r="F10" s="6"/>
      <c r="G10" s="6"/>
      <c r="H10" s="6"/>
      <c r="I10" s="6"/>
      <c r="J10" s="6"/>
      <c r="K10" s="6"/>
      <c r="L10" s="6"/>
      <c r="M10" s="42"/>
      <c r="N10" s="6"/>
      <c r="P10" s="1" t="s">
        <v>58</v>
      </c>
      <c r="Q10" s="1" t="s">
        <v>59</v>
      </c>
      <c r="R10" s="1">
        <v>8.0</v>
      </c>
      <c r="S10" s="26" t="b">
        <v>1</v>
      </c>
      <c r="T10" s="27">
        <f t="shared" si="5"/>
        <v>6.4</v>
      </c>
      <c r="U10" s="1">
        <f t="array" ref="U10">IF($S10,$P$29*MAX(0,$R10-1*IF(OR(ISNUMBER(SEARCH($O10,D$5)), ISNUMBER(SEARCH($Q10,D$5)), (ISNUMBER(SEARCH("All",D$5)))),$R10,SUMPRODUCT(--((ISNUMBER(SEARCH("All",D$6:D$103)) + ISNUMBER(SEARCH($O10,D$6:D$103)) + ISNUMBER(SEARCH($Q10,D$6:D$103)) +  ISNUMBER(SEARCH($P10,D$6:D$103))) &gt; 0),$C$6:$C$103))),$S$30*$P$29*MAX(0,$R10-1*IF(OR(ISNUMBER(SEARCH($O10,D$5)), ISNUMBER(SEARCH($Q10,D$5)), (ISNUMBER(SEARCH("All",D$5)))),$R10,SUMPRODUCT(--((ISNUMBER(SEARCH("All",D$6:D$103)) + ISNUMBER(SEARCH($O10,D$6:D$103)) + ISNUMBER(SEARCH($Q10,D$6:D$103)) +  ISNUMBER(SEARCH($P10,D$6:D$103))) &gt; 0),$C$6:$C$103))))</f>
        <v>6.4</v>
      </c>
      <c r="V10" s="1">
        <f t="array" ref="V10">IF($S10,$P$29*MAX(0,$R10-1*IF(OR(ISNUMBER(SEARCH($O10,E$5)), ISNUMBER(SEARCH($Q10,E$5)), (ISNUMBER(SEARCH("All",E$5)))),$R10,SUMPRODUCT(--((ISNUMBER(SEARCH("All",E$6:E$103)) + ISNUMBER(SEARCH($O10,E$6:E$103)) + ISNUMBER(SEARCH($Q10,E$6:E$103)) +  ISNUMBER(SEARCH($P10,E$6:E$103))) &gt; 0),$C$6:$C$103))),$S$30*$P$29*MAX(0,$R10-1*IF(OR(ISNUMBER(SEARCH($O10,E$5)), ISNUMBER(SEARCH($Q10,E$5)), (ISNUMBER(SEARCH("All",E$5)))),$R10,SUMPRODUCT(--((ISNUMBER(SEARCH("All",E$6:E$103)) + ISNUMBER(SEARCH($O10,E$6:E$103)) + ISNUMBER(SEARCH($Q10,E$6:E$103)) +  ISNUMBER(SEARCH($P10,E$6:E$103))) &gt; 0),$C$6:$C$103))))</f>
        <v>6.4</v>
      </c>
      <c r="W10" s="1">
        <f t="array" ref="W10">IF($S10,$P$29*MAX(0,$R10-1*IF(OR(ISNUMBER(SEARCH($O10,F$5)), ISNUMBER(SEARCH($Q10,F$5)), (ISNUMBER(SEARCH("All",F$5)))),$R10,SUMPRODUCT(--((ISNUMBER(SEARCH("All",F$6:F$103)) + ISNUMBER(SEARCH($O10,F$6:F$103)) + ISNUMBER(SEARCH($Q10,F$6:F$103)) +  ISNUMBER(SEARCH($P10,F$6:F$103))) &gt; 0),$C$6:$C$103))),$S$30*$P$29*MAX(0,$R10-1*IF(OR(ISNUMBER(SEARCH($O10,F$5)), ISNUMBER(SEARCH($Q10,F$5)), (ISNUMBER(SEARCH("All",F$5)))),$R10,SUMPRODUCT(--((ISNUMBER(SEARCH("All",F$6:F$103)) + ISNUMBER(SEARCH($O10,F$6:F$103)) + ISNUMBER(SEARCH($Q10,F$6:F$103)) +  ISNUMBER(SEARCH($P10,F$6:F$103))) &gt; 0),$C$6:$C$103))))</f>
        <v>6.4</v>
      </c>
      <c r="X10" s="1">
        <f t="array" ref="X10">IF($S10,$P$29*MAX(0,$R10-1*IF(OR(ISNUMBER(SEARCH($O10,G$5)), ISNUMBER(SEARCH($Q10,G$5)), (ISNUMBER(SEARCH("All",G$5)))),$R10,SUMPRODUCT(--((ISNUMBER(SEARCH("All",G$6:G$103)) + ISNUMBER(SEARCH($O10,G$6:G$103)) + ISNUMBER(SEARCH($Q10,G$6:G$103)) +  ISNUMBER(SEARCH($P10,G$6:G$103))) &gt; 0),$C$6:$C$103))),$S$30*$P$29*MAX(0,$R10-1*IF(OR(ISNUMBER(SEARCH($O10,G$5)), ISNUMBER(SEARCH($Q10,G$5)), (ISNUMBER(SEARCH("All",G$5)))),$R10,SUMPRODUCT(--((ISNUMBER(SEARCH("All",G$6:G$103)) + ISNUMBER(SEARCH($O10,G$6:G$103)) + ISNUMBER(SEARCH($Q10,G$6:G$103)) +  ISNUMBER(SEARCH($P10,G$6:G$103))) &gt; 0),$C$6:$C$103))))</f>
        <v>6.4</v>
      </c>
      <c r="Y10" s="1">
        <f t="array" ref="Y10">IF($S10,$P$29*MAX(0,$R10-1*IF(OR(ISNUMBER(SEARCH($O10,H$5)), ISNUMBER(SEARCH($Q10,H$5)), (ISNUMBER(SEARCH("All",H$5)))),$R10,SUMPRODUCT(--((ISNUMBER(SEARCH("All",H$6:H$103)) + ISNUMBER(SEARCH($O10,H$6:H$103)) + ISNUMBER(SEARCH($Q10,H$6:H$103)) +  ISNUMBER(SEARCH($P10,H$6:H$103))) &gt; 0),$C$6:$C$103))),$S$30*$P$29*MAX(0,$R10-1*IF(OR(ISNUMBER(SEARCH($O10,H$5)), ISNUMBER(SEARCH($Q10,H$5)), (ISNUMBER(SEARCH("All",H$5)))),$R10,SUMPRODUCT(--((ISNUMBER(SEARCH("All",H$6:H$103)) + ISNUMBER(SEARCH($O10,H$6:H$103)) + ISNUMBER(SEARCH($Q10,H$6:H$103)) +  ISNUMBER(SEARCH($P10,H$6:H$103))) &gt; 0),$C$6:$C$103))))</f>
        <v>6.4</v>
      </c>
      <c r="Z10" s="1">
        <f t="array" ref="Z10">IF($S10,$P$29*MAX(0,$R10-1*IF(OR(ISNUMBER(SEARCH($O10,I$5)), ISNUMBER(SEARCH($Q10,I$5)), (ISNUMBER(SEARCH("All",I$5)))),$R10,SUMPRODUCT(--((ISNUMBER(SEARCH("All",I$6:I$103)) + ISNUMBER(SEARCH($O10,I$6:I$103)) + ISNUMBER(SEARCH($Q10,I$6:I$103)) +  ISNUMBER(SEARCH($P10,I$6:I$103))) &gt; 0),$C$6:$C$103))),$S$30*$P$29*MAX(0,$R10-1*IF(OR(ISNUMBER(SEARCH($O10,I$5)), ISNUMBER(SEARCH($Q10,I$5)), (ISNUMBER(SEARCH("All",I$5)))),$R10,SUMPRODUCT(--((ISNUMBER(SEARCH("All",I$6:I$103)) + ISNUMBER(SEARCH($O10,I$6:I$103)) + ISNUMBER(SEARCH($Q10,I$6:I$103)) +  ISNUMBER(SEARCH($P10,I$6:I$103))) &gt; 0),$C$6:$C$103))))</f>
        <v>6.4</v>
      </c>
      <c r="AA10" s="1">
        <f t="array" ref="AA10">IF($S10,$P$29*MAX(0,$R10-1*IF(OR(ISNUMBER(SEARCH($O10,J$5)), ISNUMBER(SEARCH($Q10,J$5)), (ISNUMBER(SEARCH("All",J$5)))),$R10,SUMPRODUCT(--((ISNUMBER(SEARCH("All",J$6:J$103)) + ISNUMBER(SEARCH($O10,J$6:J$103)) + ISNUMBER(SEARCH($Q10,J$6:J$103)) +  ISNUMBER(SEARCH($P10,J$6:J$103))) &gt; 0),$C$6:$C$103))),$S$30*$P$29*MAX(0,$R10-1*IF(OR(ISNUMBER(SEARCH($O10,J$5)), ISNUMBER(SEARCH($Q10,J$5)), (ISNUMBER(SEARCH("All",J$5)))),$R10,SUMPRODUCT(--((ISNUMBER(SEARCH("All",J$6:J$103)) + ISNUMBER(SEARCH($O10,J$6:J$103)) + ISNUMBER(SEARCH($Q10,J$6:J$103)) +  ISNUMBER(SEARCH($P10,J$6:J$103))) &gt; 0),$C$6:$C$103))))</f>
        <v>6.4</v>
      </c>
      <c r="AB10" s="1">
        <f t="array" ref="AB10">IF($S10,$P$29*MAX(0,$R10-1*IF(OR(ISNUMBER(SEARCH($O10,K$5)), ISNUMBER(SEARCH($Q10,K$5)), (ISNUMBER(SEARCH("All",K$5)))),$R10,SUMPRODUCT(--((ISNUMBER(SEARCH("All",K$6:K$103)) + ISNUMBER(SEARCH($O10,K$6:K$103)) + ISNUMBER(SEARCH($Q10,K$6:K$103)) +  ISNUMBER(SEARCH($P10,K$6:K$103))) &gt; 0),$C$6:$C$103))),$S$30*$P$29*MAX(0,$R10-1*IF(OR(ISNUMBER(SEARCH($O10,K$5)), ISNUMBER(SEARCH($Q10,K$5)), (ISNUMBER(SEARCH("All",K$5)))),$R10,SUMPRODUCT(--((ISNUMBER(SEARCH("All",K$6:K$103)) + ISNUMBER(SEARCH($O10,K$6:K$103)) + ISNUMBER(SEARCH($Q10,K$6:K$103)) +  ISNUMBER(SEARCH($P10,K$6:K$103))) &gt; 0),$C$6:$C$103))))</f>
        <v>6.4</v>
      </c>
      <c r="AC10" s="1">
        <f t="array" ref="AC10">IF($S10,$P$29*MAX(0,$R10-1*IF(OR(ISNUMBER(SEARCH($O10,L$5)), ISNUMBER(SEARCH($Q10,L$5)), (ISNUMBER(SEARCH("All",L$5)))),$R10,SUMPRODUCT(--((ISNUMBER(SEARCH("All",L$6:L$103)) + ISNUMBER(SEARCH($O10,L$6:L$103)) + ISNUMBER(SEARCH($Q10,L$6:L$103)) +  ISNUMBER(SEARCH($P10,L$6:L$103))) &gt; 0),$C$6:$C$103))),$S$30*$P$29*MAX(0,$R10-1*IF(OR(ISNUMBER(SEARCH($O10,L$5)), ISNUMBER(SEARCH($Q10,L$5)), (ISNUMBER(SEARCH("All",L$5)))),$R10,SUMPRODUCT(--((ISNUMBER(SEARCH("All",L$6:L$103)) + ISNUMBER(SEARCH($O10,L$6:L$103)) + ISNUMBER(SEARCH($Q10,L$6:L$103)) +  ISNUMBER(SEARCH($P10,L$6:L$103))) &gt; 0),$C$6:$C$103))))</f>
        <v>6.4</v>
      </c>
      <c r="AD10" s="1">
        <f t="array" ref="AD10">IF($S10,$P$29*MAX(0,$R10-1*IF(OR(ISNUMBER(SEARCH($O10,M$5)), ISNUMBER(SEARCH($Q10,M$5)), (ISNUMBER(SEARCH("All",M$5)))),$R10,SUMPRODUCT(--((ISNUMBER(SEARCH("All",M$6:M$103)) + ISNUMBER(SEARCH($O10,M$6:M$103)) + ISNUMBER(SEARCH($Q10,M$6:M$103)) +  ISNUMBER(SEARCH($P10,M$6:M$103))) &gt; 0),$C$6:$C$103))),$S$30*$P$29*MAX(0,$R10-1*IF(OR(ISNUMBER(SEARCH($O10,M$5)), ISNUMBER(SEARCH($Q10,M$5)), (ISNUMBER(SEARCH("All",M$5)))),$R10,SUMPRODUCT(--((ISNUMBER(SEARCH("All",M$6:M$103)) + ISNUMBER(SEARCH($O10,M$6:M$103)) + ISNUMBER(SEARCH($Q10,M$6:M$103)) +  ISNUMBER(SEARCH($P10,M$6:M$103))) &gt; 0),$C$6:$C$103))))</f>
        <v>6.4</v>
      </c>
      <c r="AE10" s="6"/>
      <c r="AF10" s="6">
        <f t="shared" si="6"/>
        <v>64</v>
      </c>
      <c r="AG10" s="6"/>
      <c r="AH10" s="6"/>
      <c r="AI10" s="6"/>
      <c r="AJ10" s="28">
        <f t="shared" si="16"/>
        <v>45176</v>
      </c>
      <c r="AK10" s="26"/>
      <c r="AL10" s="26"/>
      <c r="AM10" s="26"/>
      <c r="AN10" s="76" t="str">
        <f t="shared" si="7"/>
        <v/>
      </c>
      <c r="AO10" s="6"/>
      <c r="AP10" s="77" t="str">
        <f t="shared" si="8"/>
        <v/>
      </c>
      <c r="AQ10" s="78">
        <f t="shared" si="17"/>
        <v>0.42</v>
      </c>
      <c r="AR10" s="79">
        <f t="shared" si="9"/>
        <v>0</v>
      </c>
      <c r="AS10" s="80">
        <f t="shared" si="10"/>
        <v>0</v>
      </c>
      <c r="AT10" s="81" t="str">
        <f t="shared" si="18"/>
        <v/>
      </c>
      <c r="AU10" s="82">
        <f>ROUND(Z27,2)</f>
        <v>0.07</v>
      </c>
      <c r="AV10" s="79">
        <f t="shared" si="11"/>
        <v>0</v>
      </c>
      <c r="AW10" s="83">
        <f t="shared" si="12"/>
        <v>0</v>
      </c>
      <c r="AX10" s="79">
        <f t="shared" si="13"/>
        <v>0</v>
      </c>
      <c r="AY10" s="83">
        <f t="shared" si="14"/>
        <v>0</v>
      </c>
      <c r="AZ10" s="84" t="str">
        <f t="shared" si="19"/>
        <v/>
      </c>
      <c r="BA10" s="85">
        <f>ROUND(Z$25,2)</f>
        <v>0.07</v>
      </c>
      <c r="BB10" s="81" t="str">
        <f t="shared" si="20"/>
        <v/>
      </c>
      <c r="BC10" s="85">
        <f>ROUND(Z$26,2)</f>
        <v>0.07</v>
      </c>
      <c r="BD10" s="6" t="str">
        <f>Z$4</f>
        <v>czw.</v>
      </c>
      <c r="BE10" s="29"/>
      <c r="BF10" s="29"/>
      <c r="BG10" s="37" t="str">
        <f t="shared" si="15"/>
        <v/>
      </c>
      <c r="BH10" s="38"/>
      <c r="BI10" s="26"/>
      <c r="BV10" s="6"/>
    </row>
    <row r="11">
      <c r="A11" s="7"/>
      <c r="B11" s="40"/>
      <c r="C11" s="6"/>
      <c r="D11" s="6"/>
      <c r="E11" s="6"/>
      <c r="F11" s="6"/>
      <c r="G11" s="6"/>
      <c r="H11" s="6"/>
      <c r="I11" s="6"/>
      <c r="J11" s="6"/>
      <c r="K11" s="6"/>
      <c r="L11" s="6"/>
      <c r="M11" s="42"/>
      <c r="N11" s="6"/>
      <c r="P11" s="1" t="s">
        <v>58</v>
      </c>
      <c r="Q11" s="1" t="s">
        <v>57</v>
      </c>
      <c r="R11" s="1">
        <v>8.0</v>
      </c>
      <c r="S11" s="26" t="b">
        <v>1</v>
      </c>
      <c r="T11" s="27">
        <f t="shared" si="5"/>
        <v>6.4</v>
      </c>
      <c r="U11" s="1">
        <f t="array" ref="U11">IF($S11,$P$29*MAX(0,$R11-1*IF(OR(ISNUMBER(SEARCH($O11,D$5)), ISNUMBER(SEARCH($Q11,D$5)), (ISNUMBER(SEARCH("All",D$5)))),$R11,SUMPRODUCT(--((ISNUMBER(SEARCH("All",D$6:D$103)) + ISNUMBER(SEARCH($O11,D$6:D$103)) + ISNUMBER(SEARCH($Q11,D$6:D$103)) +  ISNUMBER(SEARCH($P11,D$6:D$103))) &gt; 0),$C$6:$C$103))),$S$30*$P$29*MAX(0,$R11-1*IF(OR(ISNUMBER(SEARCH($O11,D$5)), ISNUMBER(SEARCH($Q11,D$5)), (ISNUMBER(SEARCH("All",D$5)))),$R11,SUMPRODUCT(--((ISNUMBER(SEARCH("All",D$6:D$103)) + ISNUMBER(SEARCH($O11,D$6:D$103)) + ISNUMBER(SEARCH($Q11,D$6:D$103)) +  ISNUMBER(SEARCH($P11,D$6:D$103))) &gt; 0),$C$6:$C$103))))</f>
        <v>6.4</v>
      </c>
      <c r="V11" s="1">
        <f t="array" ref="V11">IF($S11,$P$29*MAX(0,$R11-1*IF(OR(ISNUMBER(SEARCH($O11,E$5)), ISNUMBER(SEARCH($Q11,E$5)), (ISNUMBER(SEARCH("All",E$5)))),$R11,SUMPRODUCT(--((ISNUMBER(SEARCH("All",E$6:E$103)) + ISNUMBER(SEARCH($O11,E$6:E$103)) + ISNUMBER(SEARCH($Q11,E$6:E$103)) +  ISNUMBER(SEARCH($P11,E$6:E$103))) &gt; 0),$C$6:$C$103))),$S$30*$P$29*MAX(0,$R11-1*IF(OR(ISNUMBER(SEARCH($O11,E$5)), ISNUMBER(SEARCH($Q11,E$5)), (ISNUMBER(SEARCH("All",E$5)))),$R11,SUMPRODUCT(--((ISNUMBER(SEARCH("All",E$6:E$103)) + ISNUMBER(SEARCH($O11,E$6:E$103)) + ISNUMBER(SEARCH($Q11,E$6:E$103)) +  ISNUMBER(SEARCH($P11,E$6:E$103))) &gt; 0),$C$6:$C$103))))</f>
        <v>6.4</v>
      </c>
      <c r="W11" s="1">
        <f t="array" ref="W11">IF($S11,$P$29*MAX(0,$R11-1*IF(OR(ISNUMBER(SEARCH($O11,F$5)), ISNUMBER(SEARCH($Q11,F$5)), (ISNUMBER(SEARCH("All",F$5)))),$R11,SUMPRODUCT(--((ISNUMBER(SEARCH("All",F$6:F$103)) + ISNUMBER(SEARCH($O11,F$6:F$103)) + ISNUMBER(SEARCH($Q11,F$6:F$103)) +  ISNUMBER(SEARCH($P11,F$6:F$103))) &gt; 0),$C$6:$C$103))),$S$30*$P$29*MAX(0,$R11-1*IF(OR(ISNUMBER(SEARCH($O11,F$5)), ISNUMBER(SEARCH($Q11,F$5)), (ISNUMBER(SEARCH("All",F$5)))),$R11,SUMPRODUCT(--((ISNUMBER(SEARCH("All",F$6:F$103)) + ISNUMBER(SEARCH($O11,F$6:F$103)) + ISNUMBER(SEARCH($Q11,F$6:F$103)) +  ISNUMBER(SEARCH($P11,F$6:F$103))) &gt; 0),$C$6:$C$103))))</f>
        <v>6.4</v>
      </c>
      <c r="X11" s="1">
        <f t="array" ref="X11">IF($S11,$P$29*MAX(0,$R11-1*IF(OR(ISNUMBER(SEARCH($O11,G$5)), ISNUMBER(SEARCH($Q11,G$5)), (ISNUMBER(SEARCH("All",G$5)))),$R11,SUMPRODUCT(--((ISNUMBER(SEARCH("All",G$6:G$103)) + ISNUMBER(SEARCH($O11,G$6:G$103)) + ISNUMBER(SEARCH($Q11,G$6:G$103)) +  ISNUMBER(SEARCH($P11,G$6:G$103))) &gt; 0),$C$6:$C$103))),$S$30*$P$29*MAX(0,$R11-1*IF(OR(ISNUMBER(SEARCH($O11,G$5)), ISNUMBER(SEARCH($Q11,G$5)), (ISNUMBER(SEARCH("All",G$5)))),$R11,SUMPRODUCT(--((ISNUMBER(SEARCH("All",G$6:G$103)) + ISNUMBER(SEARCH($O11,G$6:G$103)) + ISNUMBER(SEARCH($Q11,G$6:G$103)) +  ISNUMBER(SEARCH($P11,G$6:G$103))) &gt; 0),$C$6:$C$103))))</f>
        <v>6.4</v>
      </c>
      <c r="Y11" s="1">
        <f t="array" ref="Y11">IF($S11,$P$29*MAX(0,$R11-1*IF(OR(ISNUMBER(SEARCH($O11,H$5)), ISNUMBER(SEARCH($Q11,H$5)), (ISNUMBER(SEARCH("All",H$5)))),$R11,SUMPRODUCT(--((ISNUMBER(SEARCH("All",H$6:H$103)) + ISNUMBER(SEARCH($O11,H$6:H$103)) + ISNUMBER(SEARCH($Q11,H$6:H$103)) +  ISNUMBER(SEARCH($P11,H$6:H$103))) &gt; 0),$C$6:$C$103))),$S$30*$P$29*MAX(0,$R11-1*IF(OR(ISNUMBER(SEARCH($O11,H$5)), ISNUMBER(SEARCH($Q11,H$5)), (ISNUMBER(SEARCH("All",H$5)))),$R11,SUMPRODUCT(--((ISNUMBER(SEARCH("All",H$6:H$103)) + ISNUMBER(SEARCH($O11,H$6:H$103)) + ISNUMBER(SEARCH($Q11,H$6:H$103)) +  ISNUMBER(SEARCH($P11,H$6:H$103))) &gt; 0),$C$6:$C$103))))</f>
        <v>6.4</v>
      </c>
      <c r="Z11" s="1">
        <f t="array" ref="Z11">IF($S11,$P$29*MAX(0,$R11-1*IF(OR(ISNUMBER(SEARCH($O11,I$5)), ISNUMBER(SEARCH($Q11,I$5)), (ISNUMBER(SEARCH("All",I$5)))),$R11,SUMPRODUCT(--((ISNUMBER(SEARCH("All",I$6:I$103)) + ISNUMBER(SEARCH($O11,I$6:I$103)) + ISNUMBER(SEARCH($Q11,I$6:I$103)) +  ISNUMBER(SEARCH($P11,I$6:I$103))) &gt; 0),$C$6:$C$103))),$S$30*$P$29*MAX(0,$R11-1*IF(OR(ISNUMBER(SEARCH($O11,I$5)), ISNUMBER(SEARCH($Q11,I$5)), (ISNUMBER(SEARCH("All",I$5)))),$R11,SUMPRODUCT(--((ISNUMBER(SEARCH("All",I$6:I$103)) + ISNUMBER(SEARCH($O11,I$6:I$103)) + ISNUMBER(SEARCH($Q11,I$6:I$103)) +  ISNUMBER(SEARCH($P11,I$6:I$103))) &gt; 0),$C$6:$C$103))))</f>
        <v>6.4</v>
      </c>
      <c r="AA11" s="1">
        <f t="array" ref="AA11">IF($S11,$P$29*MAX(0,$R11-1*IF(OR(ISNUMBER(SEARCH($O11,J$5)), ISNUMBER(SEARCH($Q11,J$5)), (ISNUMBER(SEARCH("All",J$5)))),$R11,SUMPRODUCT(--((ISNUMBER(SEARCH("All",J$6:J$103)) + ISNUMBER(SEARCH($O11,J$6:J$103)) + ISNUMBER(SEARCH($Q11,J$6:J$103)) +  ISNUMBER(SEARCH($P11,J$6:J$103))) &gt; 0),$C$6:$C$103))),$S$30*$P$29*MAX(0,$R11-1*IF(OR(ISNUMBER(SEARCH($O11,J$5)), ISNUMBER(SEARCH($Q11,J$5)), (ISNUMBER(SEARCH("All",J$5)))),$R11,SUMPRODUCT(--((ISNUMBER(SEARCH("All",J$6:J$103)) + ISNUMBER(SEARCH($O11,J$6:J$103)) + ISNUMBER(SEARCH($Q11,J$6:J$103)) +  ISNUMBER(SEARCH($P11,J$6:J$103))) &gt; 0),$C$6:$C$103))))</f>
        <v>6.4</v>
      </c>
      <c r="AB11" s="1">
        <f t="array" ref="AB11">IF($S11,$P$29*MAX(0,$R11-1*IF(OR(ISNUMBER(SEARCH($O11,K$5)), ISNUMBER(SEARCH($Q11,K$5)), (ISNUMBER(SEARCH("All",K$5)))),$R11,SUMPRODUCT(--((ISNUMBER(SEARCH("All",K$6:K$103)) + ISNUMBER(SEARCH($O11,K$6:K$103)) + ISNUMBER(SEARCH($Q11,K$6:K$103)) +  ISNUMBER(SEARCH($P11,K$6:K$103))) &gt; 0),$C$6:$C$103))),$S$30*$P$29*MAX(0,$R11-1*IF(OR(ISNUMBER(SEARCH($O11,K$5)), ISNUMBER(SEARCH($Q11,K$5)), (ISNUMBER(SEARCH("All",K$5)))),$R11,SUMPRODUCT(--((ISNUMBER(SEARCH("All",K$6:K$103)) + ISNUMBER(SEARCH($O11,K$6:K$103)) + ISNUMBER(SEARCH($Q11,K$6:K$103)) +  ISNUMBER(SEARCH($P11,K$6:K$103))) &gt; 0),$C$6:$C$103))))</f>
        <v>6.4</v>
      </c>
      <c r="AC11" s="1">
        <f t="array" ref="AC11">IF($S11,$P$29*MAX(0,$R11-1*IF(OR(ISNUMBER(SEARCH($O11,L$5)), ISNUMBER(SEARCH($Q11,L$5)), (ISNUMBER(SEARCH("All",L$5)))),$R11,SUMPRODUCT(--((ISNUMBER(SEARCH("All",L$6:L$103)) + ISNUMBER(SEARCH($O11,L$6:L$103)) + ISNUMBER(SEARCH($Q11,L$6:L$103)) +  ISNUMBER(SEARCH($P11,L$6:L$103))) &gt; 0),$C$6:$C$103))),$S$30*$P$29*MAX(0,$R11-1*IF(OR(ISNUMBER(SEARCH($O11,L$5)), ISNUMBER(SEARCH($Q11,L$5)), (ISNUMBER(SEARCH("All",L$5)))),$R11,SUMPRODUCT(--((ISNUMBER(SEARCH("All",L$6:L$103)) + ISNUMBER(SEARCH($O11,L$6:L$103)) + ISNUMBER(SEARCH($Q11,L$6:L$103)) +  ISNUMBER(SEARCH($P11,L$6:L$103))) &gt; 0),$C$6:$C$103))))</f>
        <v>6.4</v>
      </c>
      <c r="AD11" s="1">
        <f t="array" ref="AD11">IF($S11,$P$29*MAX(0,$R11-1*IF(OR(ISNUMBER(SEARCH($O11,M$5)), ISNUMBER(SEARCH($Q11,M$5)), (ISNUMBER(SEARCH("All",M$5)))),$R11,SUMPRODUCT(--((ISNUMBER(SEARCH("All",M$6:M$103)) + ISNUMBER(SEARCH($O11,M$6:M$103)) + ISNUMBER(SEARCH($Q11,M$6:M$103)) +  ISNUMBER(SEARCH($P11,M$6:M$103))) &gt; 0),$C$6:$C$103))),$S$30*$P$29*MAX(0,$R11-1*IF(OR(ISNUMBER(SEARCH($O11,M$5)), ISNUMBER(SEARCH($Q11,M$5)), (ISNUMBER(SEARCH("All",M$5)))),$R11,SUMPRODUCT(--((ISNUMBER(SEARCH("All",M$6:M$103)) + ISNUMBER(SEARCH($O11,M$6:M$103)) + ISNUMBER(SEARCH($Q11,M$6:M$103)) +  ISNUMBER(SEARCH($P11,M$6:M$103))) &gt; 0),$C$6:$C$103))))</f>
        <v>6.4</v>
      </c>
      <c r="AE11" s="6"/>
      <c r="AF11" s="6">
        <f t="shared" si="6"/>
        <v>64</v>
      </c>
      <c r="AG11" s="6"/>
      <c r="AH11" s="6"/>
      <c r="AI11" s="6"/>
      <c r="AJ11" s="28">
        <f t="shared" si="16"/>
        <v>45177</v>
      </c>
      <c r="AK11" s="26"/>
      <c r="AL11" s="26"/>
      <c r="AM11" s="26"/>
      <c r="AN11" s="76" t="str">
        <f t="shared" si="7"/>
        <v/>
      </c>
      <c r="AO11" s="6"/>
      <c r="AP11" s="77" t="str">
        <f t="shared" si="8"/>
        <v/>
      </c>
      <c r="AQ11" s="78">
        <f t="shared" si="17"/>
        <v>0.49</v>
      </c>
      <c r="AR11" s="79">
        <f t="shared" si="9"/>
        <v>0</v>
      </c>
      <c r="AS11" s="80">
        <f t="shared" si="10"/>
        <v>0</v>
      </c>
      <c r="AT11" s="81" t="str">
        <f t="shared" si="18"/>
        <v/>
      </c>
      <c r="AU11" s="82">
        <f>ROUND(AA27,2)</f>
        <v>0.07</v>
      </c>
      <c r="AV11" s="79">
        <f t="shared" si="11"/>
        <v>0</v>
      </c>
      <c r="AW11" s="83">
        <f t="shared" si="12"/>
        <v>0</v>
      </c>
      <c r="AX11" s="79">
        <f t="shared" si="13"/>
        <v>0</v>
      </c>
      <c r="AY11" s="83">
        <f t="shared" si="14"/>
        <v>0</v>
      </c>
      <c r="AZ11" s="84" t="str">
        <f t="shared" si="19"/>
        <v/>
      </c>
      <c r="BA11" s="85">
        <f>ROUND(AA$25,2)</f>
        <v>0.07</v>
      </c>
      <c r="BB11" s="81" t="str">
        <f t="shared" si="20"/>
        <v/>
      </c>
      <c r="BC11" s="85">
        <f>ROUND(AA$26,2)</f>
        <v>0.07</v>
      </c>
      <c r="BD11" s="6" t="str">
        <f>AA$4</f>
        <v>pt.</v>
      </c>
      <c r="BE11" s="29"/>
      <c r="BF11" s="29"/>
      <c r="BG11" s="37" t="str">
        <f t="shared" si="15"/>
        <v/>
      </c>
      <c r="BH11" s="38"/>
      <c r="BI11" s="26"/>
      <c r="BV11" s="6"/>
    </row>
    <row r="12">
      <c r="A12" s="7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42"/>
      <c r="N12" s="6"/>
      <c r="P12" s="1" t="s">
        <v>58</v>
      </c>
      <c r="Q12" s="1" t="s">
        <v>60</v>
      </c>
      <c r="R12" s="1">
        <v>8.0</v>
      </c>
      <c r="S12" s="26" t="b">
        <v>1</v>
      </c>
      <c r="T12" s="27">
        <f t="shared" si="5"/>
        <v>6.4</v>
      </c>
      <c r="U12" s="1">
        <f t="array" ref="U12">IF($S12,$P$29*MAX(0,$R12-1*IF(OR(ISNUMBER(SEARCH($O12,D$5)), ISNUMBER(SEARCH($Q12,D$5)), (ISNUMBER(SEARCH("All",D$5)))),$R12,SUMPRODUCT(--((ISNUMBER(SEARCH("All",D$6:D$103)) + ISNUMBER(SEARCH($O12,D$6:D$103)) + ISNUMBER(SEARCH($Q12,D$6:D$103)) +  ISNUMBER(SEARCH($P12,D$6:D$103))) &gt; 0),$C$6:$C$103))),$S$30*$P$29*MAX(0,$R12-1*IF(OR(ISNUMBER(SEARCH($O12,D$5)), ISNUMBER(SEARCH($Q12,D$5)), (ISNUMBER(SEARCH("All",D$5)))),$R12,SUMPRODUCT(--((ISNUMBER(SEARCH("All",D$6:D$103)) + ISNUMBER(SEARCH($O12,D$6:D$103)) + ISNUMBER(SEARCH($Q12,D$6:D$103)) +  ISNUMBER(SEARCH($P12,D$6:D$103))) &gt; 0),$C$6:$C$103))))</f>
        <v>6.4</v>
      </c>
      <c r="V12" s="1">
        <f t="array" ref="V12">IF($S12,$P$29*MAX(0,$R12-1*IF(OR(ISNUMBER(SEARCH($O12,E$5)), ISNUMBER(SEARCH($Q12,E$5)), (ISNUMBER(SEARCH("All",E$5)))),$R12,SUMPRODUCT(--((ISNUMBER(SEARCH("All",E$6:E$103)) + ISNUMBER(SEARCH($O12,E$6:E$103)) + ISNUMBER(SEARCH($Q12,E$6:E$103)) +  ISNUMBER(SEARCH($P12,E$6:E$103))) &gt; 0),$C$6:$C$103))),$S$30*$P$29*MAX(0,$R12-1*IF(OR(ISNUMBER(SEARCH($O12,E$5)), ISNUMBER(SEARCH($Q12,E$5)), (ISNUMBER(SEARCH("All",E$5)))),$R12,SUMPRODUCT(--((ISNUMBER(SEARCH("All",E$6:E$103)) + ISNUMBER(SEARCH($O12,E$6:E$103)) + ISNUMBER(SEARCH($Q12,E$6:E$103)) +  ISNUMBER(SEARCH($P12,E$6:E$103))) &gt; 0),$C$6:$C$103))))</f>
        <v>6.4</v>
      </c>
      <c r="W12" s="1">
        <f t="array" ref="W12">IF($S12,$P$29*MAX(0,$R12-1*IF(OR(ISNUMBER(SEARCH($O12,F$5)), ISNUMBER(SEARCH($Q12,F$5)), (ISNUMBER(SEARCH("All",F$5)))),$R12,SUMPRODUCT(--((ISNUMBER(SEARCH("All",F$6:F$103)) + ISNUMBER(SEARCH($O12,F$6:F$103)) + ISNUMBER(SEARCH($Q12,F$6:F$103)) +  ISNUMBER(SEARCH($P12,F$6:F$103))) &gt; 0),$C$6:$C$103))),$S$30*$P$29*MAX(0,$R12-1*IF(OR(ISNUMBER(SEARCH($O12,F$5)), ISNUMBER(SEARCH($Q12,F$5)), (ISNUMBER(SEARCH("All",F$5)))),$R12,SUMPRODUCT(--((ISNUMBER(SEARCH("All",F$6:F$103)) + ISNUMBER(SEARCH($O12,F$6:F$103)) + ISNUMBER(SEARCH($Q12,F$6:F$103)) +  ISNUMBER(SEARCH($P12,F$6:F$103))) &gt; 0),$C$6:$C$103))))</f>
        <v>6.4</v>
      </c>
      <c r="X12" s="1">
        <f t="array" ref="X12">IF($S12,$P$29*MAX(0,$R12-1*IF(OR(ISNUMBER(SEARCH($O12,G$5)), ISNUMBER(SEARCH($Q12,G$5)), (ISNUMBER(SEARCH("All",G$5)))),$R12,SUMPRODUCT(--((ISNUMBER(SEARCH("All",G$6:G$103)) + ISNUMBER(SEARCH($O12,G$6:G$103)) + ISNUMBER(SEARCH($Q12,G$6:G$103)) +  ISNUMBER(SEARCH($P12,G$6:G$103))) &gt; 0),$C$6:$C$103))),$S$30*$P$29*MAX(0,$R12-1*IF(OR(ISNUMBER(SEARCH($O12,G$5)), ISNUMBER(SEARCH($Q12,G$5)), (ISNUMBER(SEARCH("All",G$5)))),$R12,SUMPRODUCT(--((ISNUMBER(SEARCH("All",G$6:G$103)) + ISNUMBER(SEARCH($O12,G$6:G$103)) + ISNUMBER(SEARCH($Q12,G$6:G$103)) +  ISNUMBER(SEARCH($P12,G$6:G$103))) &gt; 0),$C$6:$C$103))))</f>
        <v>6.4</v>
      </c>
      <c r="Y12" s="1">
        <f t="array" ref="Y12">IF($S12,$P$29*MAX(0,$R12-1*IF(OR(ISNUMBER(SEARCH($O12,H$5)), ISNUMBER(SEARCH($Q12,H$5)), (ISNUMBER(SEARCH("All",H$5)))),$R12,SUMPRODUCT(--((ISNUMBER(SEARCH("All",H$6:H$103)) + ISNUMBER(SEARCH($O12,H$6:H$103)) + ISNUMBER(SEARCH($Q12,H$6:H$103)) +  ISNUMBER(SEARCH($P12,H$6:H$103))) &gt; 0),$C$6:$C$103))),$S$30*$P$29*MAX(0,$R12-1*IF(OR(ISNUMBER(SEARCH($O12,H$5)), ISNUMBER(SEARCH($Q12,H$5)), (ISNUMBER(SEARCH("All",H$5)))),$R12,SUMPRODUCT(--((ISNUMBER(SEARCH("All",H$6:H$103)) + ISNUMBER(SEARCH($O12,H$6:H$103)) + ISNUMBER(SEARCH($Q12,H$6:H$103)) +  ISNUMBER(SEARCH($P12,H$6:H$103))) &gt; 0),$C$6:$C$103))))</f>
        <v>6.4</v>
      </c>
      <c r="Z12" s="1">
        <f t="array" ref="Z12">IF($S12,$P$29*MAX(0,$R12-1*IF(OR(ISNUMBER(SEARCH($O12,I$5)), ISNUMBER(SEARCH($Q12,I$5)), (ISNUMBER(SEARCH("All",I$5)))),$R12,SUMPRODUCT(--((ISNUMBER(SEARCH("All",I$6:I$103)) + ISNUMBER(SEARCH($O12,I$6:I$103)) + ISNUMBER(SEARCH($Q12,I$6:I$103)) +  ISNUMBER(SEARCH($P12,I$6:I$103))) &gt; 0),$C$6:$C$103))),$S$30*$P$29*MAX(0,$R12-1*IF(OR(ISNUMBER(SEARCH($O12,I$5)), ISNUMBER(SEARCH($Q12,I$5)), (ISNUMBER(SEARCH("All",I$5)))),$R12,SUMPRODUCT(--((ISNUMBER(SEARCH("All",I$6:I$103)) + ISNUMBER(SEARCH($O12,I$6:I$103)) + ISNUMBER(SEARCH($Q12,I$6:I$103)) +  ISNUMBER(SEARCH($P12,I$6:I$103))) &gt; 0),$C$6:$C$103))))</f>
        <v>6.4</v>
      </c>
      <c r="AA12" s="1">
        <f t="array" ref="AA12">IF($S12,$P$29*MAX(0,$R12-1*IF(OR(ISNUMBER(SEARCH($O12,J$5)), ISNUMBER(SEARCH($Q12,J$5)), (ISNUMBER(SEARCH("All",J$5)))),$R12,SUMPRODUCT(--((ISNUMBER(SEARCH("All",J$6:J$103)) + ISNUMBER(SEARCH($O12,J$6:J$103)) + ISNUMBER(SEARCH($Q12,J$6:J$103)) +  ISNUMBER(SEARCH($P12,J$6:J$103))) &gt; 0),$C$6:$C$103))),$S$30*$P$29*MAX(0,$R12-1*IF(OR(ISNUMBER(SEARCH($O12,J$5)), ISNUMBER(SEARCH($Q12,J$5)), (ISNUMBER(SEARCH("All",J$5)))),$R12,SUMPRODUCT(--((ISNUMBER(SEARCH("All",J$6:J$103)) + ISNUMBER(SEARCH($O12,J$6:J$103)) + ISNUMBER(SEARCH($Q12,J$6:J$103)) +  ISNUMBER(SEARCH($P12,J$6:J$103))) &gt; 0),$C$6:$C$103))))</f>
        <v>6.4</v>
      </c>
      <c r="AB12" s="1">
        <f t="array" ref="AB12">IF($S12,$P$29*MAX(0,$R12-1*IF(OR(ISNUMBER(SEARCH($O12,K$5)), ISNUMBER(SEARCH($Q12,K$5)), (ISNUMBER(SEARCH("All",K$5)))),$R12,SUMPRODUCT(--((ISNUMBER(SEARCH("All",K$6:K$103)) + ISNUMBER(SEARCH($O12,K$6:K$103)) + ISNUMBER(SEARCH($Q12,K$6:K$103)) +  ISNUMBER(SEARCH($P12,K$6:K$103))) &gt; 0),$C$6:$C$103))),$S$30*$P$29*MAX(0,$R12-1*IF(OR(ISNUMBER(SEARCH($O12,K$5)), ISNUMBER(SEARCH($Q12,K$5)), (ISNUMBER(SEARCH("All",K$5)))),$R12,SUMPRODUCT(--((ISNUMBER(SEARCH("All",K$6:K$103)) + ISNUMBER(SEARCH($O12,K$6:K$103)) + ISNUMBER(SEARCH($Q12,K$6:K$103)) +  ISNUMBER(SEARCH($P12,K$6:K$103))) &gt; 0),$C$6:$C$103))))</f>
        <v>6.4</v>
      </c>
      <c r="AC12" s="1">
        <f t="array" ref="AC12">IF($S12,$P$29*MAX(0,$R12-1*IF(OR(ISNUMBER(SEARCH($O12,L$5)), ISNUMBER(SEARCH($Q12,L$5)), (ISNUMBER(SEARCH("All",L$5)))),$R12,SUMPRODUCT(--((ISNUMBER(SEARCH("All",L$6:L$103)) + ISNUMBER(SEARCH($O12,L$6:L$103)) + ISNUMBER(SEARCH($Q12,L$6:L$103)) +  ISNUMBER(SEARCH($P12,L$6:L$103))) &gt; 0),$C$6:$C$103))),$S$30*$P$29*MAX(0,$R12-1*IF(OR(ISNUMBER(SEARCH($O12,L$5)), ISNUMBER(SEARCH($Q12,L$5)), (ISNUMBER(SEARCH("All",L$5)))),$R12,SUMPRODUCT(--((ISNUMBER(SEARCH("All",L$6:L$103)) + ISNUMBER(SEARCH($O12,L$6:L$103)) + ISNUMBER(SEARCH($Q12,L$6:L$103)) +  ISNUMBER(SEARCH($P12,L$6:L$103))) &gt; 0),$C$6:$C$103))))</f>
        <v>6.4</v>
      </c>
      <c r="AD12" s="1">
        <f t="array" ref="AD12">IF($S12,$P$29*MAX(0,$R12-1*IF(OR(ISNUMBER(SEARCH($O12,M$5)), ISNUMBER(SEARCH($Q12,M$5)), (ISNUMBER(SEARCH("All",M$5)))),$R12,SUMPRODUCT(--((ISNUMBER(SEARCH("All",M$6:M$103)) + ISNUMBER(SEARCH($O12,M$6:M$103)) + ISNUMBER(SEARCH($Q12,M$6:M$103)) +  ISNUMBER(SEARCH($P12,M$6:M$103))) &gt; 0),$C$6:$C$103))),$S$30*$P$29*MAX(0,$R12-1*IF(OR(ISNUMBER(SEARCH($O12,M$5)), ISNUMBER(SEARCH($Q12,M$5)), (ISNUMBER(SEARCH("All",M$5)))),$R12,SUMPRODUCT(--((ISNUMBER(SEARCH("All",M$6:M$103)) + ISNUMBER(SEARCH($O12,M$6:M$103)) + ISNUMBER(SEARCH($Q12,M$6:M$103)) +  ISNUMBER(SEARCH($P12,M$6:M$103))) &gt; 0),$C$6:$C$103))))</f>
        <v>6.4</v>
      </c>
      <c r="AE12" s="6"/>
      <c r="AF12" s="6">
        <f t="shared" si="6"/>
        <v>64</v>
      </c>
      <c r="AG12" s="6"/>
      <c r="AH12" s="6"/>
      <c r="AI12" s="6"/>
      <c r="AJ12" s="28">
        <f t="shared" si="16"/>
        <v>45180</v>
      </c>
      <c r="AK12" s="26"/>
      <c r="AL12" s="26"/>
      <c r="AM12" s="26"/>
      <c r="AN12" s="76" t="str">
        <f t="shared" si="7"/>
        <v/>
      </c>
      <c r="AO12" s="6"/>
      <c r="AP12" s="77" t="str">
        <f t="shared" si="8"/>
        <v/>
      </c>
      <c r="AQ12" s="78">
        <f t="shared" si="17"/>
        <v>0.56</v>
      </c>
      <c r="AR12" s="79">
        <f t="shared" si="9"/>
        <v>0</v>
      </c>
      <c r="AS12" s="80">
        <f t="shared" si="10"/>
        <v>0</v>
      </c>
      <c r="AT12" s="81" t="str">
        <f t="shared" si="18"/>
        <v/>
      </c>
      <c r="AU12" s="82">
        <f>ROUND(AB27,2)</f>
        <v>0.07</v>
      </c>
      <c r="AV12" s="79">
        <f t="shared" si="11"/>
        <v>0</v>
      </c>
      <c r="AW12" s="83">
        <f t="shared" si="12"/>
        <v>0</v>
      </c>
      <c r="AX12" s="79">
        <f t="shared" si="13"/>
        <v>0</v>
      </c>
      <c r="AY12" s="83">
        <f t="shared" si="14"/>
        <v>0</v>
      </c>
      <c r="AZ12" s="84" t="str">
        <f t="shared" si="19"/>
        <v/>
      </c>
      <c r="BA12" s="85">
        <f>ROUND(AB$25,2)</f>
        <v>0.07</v>
      </c>
      <c r="BB12" s="81" t="str">
        <f t="shared" si="20"/>
        <v/>
      </c>
      <c r="BC12" s="85">
        <f>ROUND(AB$26,2)</f>
        <v>0.07</v>
      </c>
      <c r="BD12" s="6" t="str">
        <f>AB$4</f>
        <v>pon.</v>
      </c>
      <c r="BE12" s="29"/>
      <c r="BF12" s="29"/>
      <c r="BG12" s="37" t="str">
        <f t="shared" si="15"/>
        <v/>
      </c>
      <c r="BH12" s="38"/>
      <c r="BI12" s="26"/>
      <c r="BV12" s="6"/>
    </row>
    <row r="13">
      <c r="A13" s="7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42"/>
      <c r="N13" s="6"/>
      <c r="P13" s="1" t="s">
        <v>58</v>
      </c>
      <c r="Q13" s="1" t="s">
        <v>59</v>
      </c>
      <c r="R13" s="1">
        <v>8.0</v>
      </c>
      <c r="S13" s="26" t="b">
        <v>1</v>
      </c>
      <c r="T13" s="27">
        <f t="shared" si="5"/>
        <v>6.4</v>
      </c>
      <c r="U13" s="1">
        <f t="array" ref="U13">IF($S13,$P$29*MAX(0,$R13-1*IF(OR(ISNUMBER(SEARCH($O13,D$5)), ISNUMBER(SEARCH($Q13,D$5)), (ISNUMBER(SEARCH("All",D$5)))),$R13,SUMPRODUCT(--((ISNUMBER(SEARCH("All",D$6:D$103)) + ISNUMBER(SEARCH($O13,D$6:D$103)) + ISNUMBER(SEARCH($Q13,D$6:D$103)) +  ISNUMBER(SEARCH($P13,D$6:D$103))) &gt; 0),$C$6:$C$103))),$S$30*$P$29*MAX(0,$R13-1*IF(OR(ISNUMBER(SEARCH($O13,D$5)), ISNUMBER(SEARCH($Q13,D$5)), (ISNUMBER(SEARCH("All",D$5)))),$R13,SUMPRODUCT(--((ISNUMBER(SEARCH("All",D$6:D$103)) + ISNUMBER(SEARCH($O13,D$6:D$103)) + ISNUMBER(SEARCH($Q13,D$6:D$103)) +  ISNUMBER(SEARCH($P13,D$6:D$103))) &gt; 0),$C$6:$C$103))))</f>
        <v>6.4</v>
      </c>
      <c r="V13" s="1">
        <f t="array" ref="V13">IF($S13,$P$29*MAX(0,$R13-1*IF(OR(ISNUMBER(SEARCH($O13,E$5)), ISNUMBER(SEARCH($Q13,E$5)), (ISNUMBER(SEARCH("All",E$5)))),$R13,SUMPRODUCT(--((ISNUMBER(SEARCH("All",E$6:E$103)) + ISNUMBER(SEARCH($O13,E$6:E$103)) + ISNUMBER(SEARCH($Q13,E$6:E$103)) +  ISNUMBER(SEARCH($P13,E$6:E$103))) &gt; 0),$C$6:$C$103))),$S$30*$P$29*MAX(0,$R13-1*IF(OR(ISNUMBER(SEARCH($O13,E$5)), ISNUMBER(SEARCH($Q13,E$5)), (ISNUMBER(SEARCH("All",E$5)))),$R13,SUMPRODUCT(--((ISNUMBER(SEARCH("All",E$6:E$103)) + ISNUMBER(SEARCH($O13,E$6:E$103)) + ISNUMBER(SEARCH($Q13,E$6:E$103)) +  ISNUMBER(SEARCH($P13,E$6:E$103))) &gt; 0),$C$6:$C$103))))</f>
        <v>6.4</v>
      </c>
      <c r="W13" s="1">
        <f t="array" ref="W13">IF($S13,$P$29*MAX(0,$R13-1*IF(OR(ISNUMBER(SEARCH($O13,F$5)), ISNUMBER(SEARCH($Q13,F$5)), (ISNUMBER(SEARCH("All",F$5)))),$R13,SUMPRODUCT(--((ISNUMBER(SEARCH("All",F$6:F$103)) + ISNUMBER(SEARCH($O13,F$6:F$103)) + ISNUMBER(SEARCH($Q13,F$6:F$103)) +  ISNUMBER(SEARCH($P13,F$6:F$103))) &gt; 0),$C$6:$C$103))),$S$30*$P$29*MAX(0,$R13-1*IF(OR(ISNUMBER(SEARCH($O13,F$5)), ISNUMBER(SEARCH($Q13,F$5)), (ISNUMBER(SEARCH("All",F$5)))),$R13,SUMPRODUCT(--((ISNUMBER(SEARCH("All",F$6:F$103)) + ISNUMBER(SEARCH($O13,F$6:F$103)) + ISNUMBER(SEARCH($Q13,F$6:F$103)) +  ISNUMBER(SEARCH($P13,F$6:F$103))) &gt; 0),$C$6:$C$103))))</f>
        <v>6.4</v>
      </c>
      <c r="X13" s="1">
        <f t="array" ref="X13">IF($S13,$P$29*MAX(0,$R13-1*IF(OR(ISNUMBER(SEARCH($O13,G$5)), ISNUMBER(SEARCH($Q13,G$5)), (ISNUMBER(SEARCH("All",G$5)))),$R13,SUMPRODUCT(--((ISNUMBER(SEARCH("All",G$6:G$103)) + ISNUMBER(SEARCH($O13,G$6:G$103)) + ISNUMBER(SEARCH($Q13,G$6:G$103)) +  ISNUMBER(SEARCH($P13,G$6:G$103))) &gt; 0),$C$6:$C$103))),$S$30*$P$29*MAX(0,$R13-1*IF(OR(ISNUMBER(SEARCH($O13,G$5)), ISNUMBER(SEARCH($Q13,G$5)), (ISNUMBER(SEARCH("All",G$5)))),$R13,SUMPRODUCT(--((ISNUMBER(SEARCH("All",G$6:G$103)) + ISNUMBER(SEARCH($O13,G$6:G$103)) + ISNUMBER(SEARCH($Q13,G$6:G$103)) +  ISNUMBER(SEARCH($P13,G$6:G$103))) &gt; 0),$C$6:$C$103))))</f>
        <v>6.4</v>
      </c>
      <c r="Y13" s="1">
        <f t="array" ref="Y13">IF($S13,$P$29*MAX(0,$R13-1*IF(OR(ISNUMBER(SEARCH($O13,H$5)), ISNUMBER(SEARCH($Q13,H$5)), (ISNUMBER(SEARCH("All",H$5)))),$R13,SUMPRODUCT(--((ISNUMBER(SEARCH("All",H$6:H$103)) + ISNUMBER(SEARCH($O13,H$6:H$103)) + ISNUMBER(SEARCH($Q13,H$6:H$103)) +  ISNUMBER(SEARCH($P13,H$6:H$103))) &gt; 0),$C$6:$C$103))),$S$30*$P$29*MAX(0,$R13-1*IF(OR(ISNUMBER(SEARCH($O13,H$5)), ISNUMBER(SEARCH($Q13,H$5)), (ISNUMBER(SEARCH("All",H$5)))),$R13,SUMPRODUCT(--((ISNUMBER(SEARCH("All",H$6:H$103)) + ISNUMBER(SEARCH($O13,H$6:H$103)) + ISNUMBER(SEARCH($Q13,H$6:H$103)) +  ISNUMBER(SEARCH($P13,H$6:H$103))) &gt; 0),$C$6:$C$103))))</f>
        <v>6.4</v>
      </c>
      <c r="Z13" s="1">
        <f t="array" ref="Z13">IF($S13,$P$29*MAX(0,$R13-1*IF(OR(ISNUMBER(SEARCH($O13,I$5)), ISNUMBER(SEARCH($Q13,I$5)), (ISNUMBER(SEARCH("All",I$5)))),$R13,SUMPRODUCT(--((ISNUMBER(SEARCH("All",I$6:I$103)) + ISNUMBER(SEARCH($O13,I$6:I$103)) + ISNUMBER(SEARCH($Q13,I$6:I$103)) +  ISNUMBER(SEARCH($P13,I$6:I$103))) &gt; 0),$C$6:$C$103))),$S$30*$P$29*MAX(0,$R13-1*IF(OR(ISNUMBER(SEARCH($O13,I$5)), ISNUMBER(SEARCH($Q13,I$5)), (ISNUMBER(SEARCH("All",I$5)))),$R13,SUMPRODUCT(--((ISNUMBER(SEARCH("All",I$6:I$103)) + ISNUMBER(SEARCH($O13,I$6:I$103)) + ISNUMBER(SEARCH($Q13,I$6:I$103)) +  ISNUMBER(SEARCH($P13,I$6:I$103))) &gt; 0),$C$6:$C$103))))</f>
        <v>6.4</v>
      </c>
      <c r="AA13" s="1">
        <f t="array" ref="AA13">IF($S13,$P$29*MAX(0,$R13-1*IF(OR(ISNUMBER(SEARCH($O13,J$5)), ISNUMBER(SEARCH($Q13,J$5)), (ISNUMBER(SEARCH("All",J$5)))),$R13,SUMPRODUCT(--((ISNUMBER(SEARCH("All",J$6:J$103)) + ISNUMBER(SEARCH($O13,J$6:J$103)) + ISNUMBER(SEARCH($Q13,J$6:J$103)) +  ISNUMBER(SEARCH($P13,J$6:J$103))) &gt; 0),$C$6:$C$103))),$S$30*$P$29*MAX(0,$R13-1*IF(OR(ISNUMBER(SEARCH($O13,J$5)), ISNUMBER(SEARCH($Q13,J$5)), (ISNUMBER(SEARCH("All",J$5)))),$R13,SUMPRODUCT(--((ISNUMBER(SEARCH("All",J$6:J$103)) + ISNUMBER(SEARCH($O13,J$6:J$103)) + ISNUMBER(SEARCH($Q13,J$6:J$103)) +  ISNUMBER(SEARCH($P13,J$6:J$103))) &gt; 0),$C$6:$C$103))))</f>
        <v>6.4</v>
      </c>
      <c r="AB13" s="1">
        <f t="array" ref="AB13">IF($S13,$P$29*MAX(0,$R13-1*IF(OR(ISNUMBER(SEARCH($O13,K$5)), ISNUMBER(SEARCH($Q13,K$5)), (ISNUMBER(SEARCH("All",K$5)))),$R13,SUMPRODUCT(--((ISNUMBER(SEARCH("All",K$6:K$103)) + ISNUMBER(SEARCH($O13,K$6:K$103)) + ISNUMBER(SEARCH($Q13,K$6:K$103)) +  ISNUMBER(SEARCH($P13,K$6:K$103))) &gt; 0),$C$6:$C$103))),$S$30*$P$29*MAX(0,$R13-1*IF(OR(ISNUMBER(SEARCH($O13,K$5)), ISNUMBER(SEARCH($Q13,K$5)), (ISNUMBER(SEARCH("All",K$5)))),$R13,SUMPRODUCT(--((ISNUMBER(SEARCH("All",K$6:K$103)) + ISNUMBER(SEARCH($O13,K$6:K$103)) + ISNUMBER(SEARCH($Q13,K$6:K$103)) +  ISNUMBER(SEARCH($P13,K$6:K$103))) &gt; 0),$C$6:$C$103))))</f>
        <v>6.4</v>
      </c>
      <c r="AC13" s="1">
        <f t="array" ref="AC13">IF($S13,$P$29*MAX(0,$R13-1*IF(OR(ISNUMBER(SEARCH($O13,L$5)), ISNUMBER(SEARCH($Q13,L$5)), (ISNUMBER(SEARCH("All",L$5)))),$R13,SUMPRODUCT(--((ISNUMBER(SEARCH("All",L$6:L$103)) + ISNUMBER(SEARCH($O13,L$6:L$103)) + ISNUMBER(SEARCH($Q13,L$6:L$103)) +  ISNUMBER(SEARCH($P13,L$6:L$103))) &gt; 0),$C$6:$C$103))),$S$30*$P$29*MAX(0,$R13-1*IF(OR(ISNUMBER(SEARCH($O13,L$5)), ISNUMBER(SEARCH($Q13,L$5)), (ISNUMBER(SEARCH("All",L$5)))),$R13,SUMPRODUCT(--((ISNUMBER(SEARCH("All",L$6:L$103)) + ISNUMBER(SEARCH($O13,L$6:L$103)) + ISNUMBER(SEARCH($Q13,L$6:L$103)) +  ISNUMBER(SEARCH($P13,L$6:L$103))) &gt; 0),$C$6:$C$103))))</f>
        <v>6.4</v>
      </c>
      <c r="AD13" s="1">
        <f t="array" ref="AD13">IF($S13,$P$29*MAX(0,$R13-1*IF(OR(ISNUMBER(SEARCH($O13,M$5)), ISNUMBER(SEARCH($Q13,M$5)), (ISNUMBER(SEARCH("All",M$5)))),$R13,SUMPRODUCT(--((ISNUMBER(SEARCH("All",M$6:M$103)) + ISNUMBER(SEARCH($O13,M$6:M$103)) + ISNUMBER(SEARCH($Q13,M$6:M$103)) +  ISNUMBER(SEARCH($P13,M$6:M$103))) &gt; 0),$C$6:$C$103))),$S$30*$P$29*MAX(0,$R13-1*IF(OR(ISNUMBER(SEARCH($O13,M$5)), ISNUMBER(SEARCH($Q13,M$5)), (ISNUMBER(SEARCH("All",M$5)))),$R13,SUMPRODUCT(--((ISNUMBER(SEARCH("All",M$6:M$103)) + ISNUMBER(SEARCH($O13,M$6:M$103)) + ISNUMBER(SEARCH($Q13,M$6:M$103)) +  ISNUMBER(SEARCH($P13,M$6:M$103))) &gt; 0),$C$6:$C$103))))</f>
        <v>6.4</v>
      </c>
      <c r="AE13" s="6"/>
      <c r="AF13" s="6">
        <f t="shared" si="6"/>
        <v>64</v>
      </c>
      <c r="AG13" s="6"/>
      <c r="AH13" s="6"/>
      <c r="AI13" s="6"/>
      <c r="AJ13" s="28">
        <f t="shared" si="16"/>
        <v>45181</v>
      </c>
      <c r="AK13" s="26"/>
      <c r="AL13" s="26"/>
      <c r="AM13" s="26"/>
      <c r="AN13" s="76" t="str">
        <f t="shared" si="7"/>
        <v/>
      </c>
      <c r="AP13" s="77" t="str">
        <f t="shared" si="8"/>
        <v/>
      </c>
      <c r="AQ13" s="78">
        <f t="shared" si="17"/>
        <v>0.63</v>
      </c>
      <c r="AR13" s="79">
        <f t="shared" si="9"/>
        <v>0</v>
      </c>
      <c r="AS13" s="80">
        <f t="shared" si="10"/>
        <v>0</v>
      </c>
      <c r="AT13" s="81" t="str">
        <f t="shared" si="18"/>
        <v/>
      </c>
      <c r="AU13" s="82">
        <f>ROUND(AC27,2)</f>
        <v>0.07</v>
      </c>
      <c r="AV13" s="79">
        <f t="shared" si="11"/>
        <v>0</v>
      </c>
      <c r="AW13" s="83">
        <f t="shared" si="12"/>
        <v>0</v>
      </c>
      <c r="AX13" s="79">
        <f t="shared" si="13"/>
        <v>0</v>
      </c>
      <c r="AY13" s="83">
        <f t="shared" si="14"/>
        <v>0</v>
      </c>
      <c r="AZ13" s="84" t="str">
        <f t="shared" si="19"/>
        <v/>
      </c>
      <c r="BA13" s="85">
        <f>ROUND(AC$25,2)</f>
        <v>0.07</v>
      </c>
      <c r="BB13" s="81" t="str">
        <f t="shared" si="20"/>
        <v/>
      </c>
      <c r="BC13" s="85">
        <f>ROUND(AC$26,2)</f>
        <v>0.07</v>
      </c>
      <c r="BD13" s="6" t="str">
        <f>AC$4</f>
        <v>wt.</v>
      </c>
      <c r="BE13" s="29"/>
      <c r="BF13" s="29"/>
      <c r="BG13" s="37" t="str">
        <f t="shared" si="15"/>
        <v/>
      </c>
      <c r="BH13" s="38"/>
      <c r="BI13" s="26"/>
      <c r="BV13" s="6"/>
    </row>
    <row r="14" ht="48.0" customHeight="1">
      <c r="A14" s="7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42"/>
      <c r="N14" s="6"/>
      <c r="P14" s="1" t="s">
        <v>56</v>
      </c>
      <c r="Q14" s="1" t="s">
        <v>59</v>
      </c>
      <c r="R14" s="1">
        <v>8.0</v>
      </c>
      <c r="S14" s="26" t="b">
        <v>1</v>
      </c>
      <c r="T14" s="27">
        <f t="shared" si="5"/>
        <v>6.4</v>
      </c>
      <c r="U14" s="1">
        <f t="array" ref="U14">IF($S14,$P$29*MAX(0,$R14-1*IF(OR(ISNUMBER(SEARCH($O14,D$5)), ISNUMBER(SEARCH($Q14,D$5)), (ISNUMBER(SEARCH("All",D$5)))),$R14,SUMPRODUCT(--((ISNUMBER(SEARCH("All",D$6:D$103)) + ISNUMBER(SEARCH($O14,D$6:D$103)) + ISNUMBER(SEARCH($Q14,D$6:D$103)) +  ISNUMBER(SEARCH($P14,D$6:D$103))) &gt; 0),$C$6:$C$103))),$S$30*$P$29*MAX(0,$R14-1*IF(OR(ISNUMBER(SEARCH($O14,D$5)), ISNUMBER(SEARCH($Q14,D$5)), (ISNUMBER(SEARCH("All",D$5)))),$R14,SUMPRODUCT(--((ISNUMBER(SEARCH("All",D$6:D$103)) + ISNUMBER(SEARCH($O14,D$6:D$103)) + ISNUMBER(SEARCH($Q14,D$6:D$103)) +  ISNUMBER(SEARCH($P14,D$6:D$103))) &gt; 0),$C$6:$C$103))))</f>
        <v>6.4</v>
      </c>
      <c r="V14" s="1">
        <f t="array" ref="V14">IF($S14,$P$29*MAX(0,$R14-1*IF(OR(ISNUMBER(SEARCH($O14,E$5)), ISNUMBER(SEARCH($Q14,E$5)), (ISNUMBER(SEARCH("All",E$5)))),$R14,SUMPRODUCT(--((ISNUMBER(SEARCH("All",E$6:E$103)) + ISNUMBER(SEARCH($O14,E$6:E$103)) + ISNUMBER(SEARCH($Q14,E$6:E$103)) +  ISNUMBER(SEARCH($P14,E$6:E$103))) &gt; 0),$C$6:$C$103))),$S$30*$P$29*MAX(0,$R14-1*IF(OR(ISNUMBER(SEARCH($O14,E$5)), ISNUMBER(SEARCH($Q14,E$5)), (ISNUMBER(SEARCH("All",E$5)))),$R14,SUMPRODUCT(--((ISNUMBER(SEARCH("All",E$6:E$103)) + ISNUMBER(SEARCH($O14,E$6:E$103)) + ISNUMBER(SEARCH($Q14,E$6:E$103)) +  ISNUMBER(SEARCH($P14,E$6:E$103))) &gt; 0),$C$6:$C$103))))</f>
        <v>6.4</v>
      </c>
      <c r="W14" s="1">
        <f t="array" ref="W14">IF($S14,$P$29*MAX(0,$R14-1*IF(OR(ISNUMBER(SEARCH($O14,F$5)), ISNUMBER(SEARCH($Q14,F$5)), (ISNUMBER(SEARCH("All",F$5)))),$R14,SUMPRODUCT(--((ISNUMBER(SEARCH("All",F$6:F$103)) + ISNUMBER(SEARCH($O14,F$6:F$103)) + ISNUMBER(SEARCH($Q14,F$6:F$103)) +  ISNUMBER(SEARCH($P14,F$6:F$103))) &gt; 0),$C$6:$C$103))),$S$30*$P$29*MAX(0,$R14-1*IF(OR(ISNUMBER(SEARCH($O14,F$5)), ISNUMBER(SEARCH($Q14,F$5)), (ISNUMBER(SEARCH("All",F$5)))),$R14,SUMPRODUCT(--((ISNUMBER(SEARCH("All",F$6:F$103)) + ISNUMBER(SEARCH($O14,F$6:F$103)) + ISNUMBER(SEARCH($Q14,F$6:F$103)) +  ISNUMBER(SEARCH($P14,F$6:F$103))) &gt; 0),$C$6:$C$103))))</f>
        <v>6.4</v>
      </c>
      <c r="X14" s="1">
        <f t="array" ref="X14">IF($S14,$P$29*MAX(0,$R14-1*IF(OR(ISNUMBER(SEARCH($O14,G$5)), ISNUMBER(SEARCH($Q14,G$5)), (ISNUMBER(SEARCH("All",G$5)))),$R14,SUMPRODUCT(--((ISNUMBER(SEARCH("All",G$6:G$103)) + ISNUMBER(SEARCH($O14,G$6:G$103)) + ISNUMBER(SEARCH($Q14,G$6:G$103)) +  ISNUMBER(SEARCH($P14,G$6:G$103))) &gt; 0),$C$6:$C$103))),$S$30*$P$29*MAX(0,$R14-1*IF(OR(ISNUMBER(SEARCH($O14,G$5)), ISNUMBER(SEARCH($Q14,G$5)), (ISNUMBER(SEARCH("All",G$5)))),$R14,SUMPRODUCT(--((ISNUMBER(SEARCH("All",G$6:G$103)) + ISNUMBER(SEARCH($O14,G$6:G$103)) + ISNUMBER(SEARCH($Q14,G$6:G$103)) +  ISNUMBER(SEARCH($P14,G$6:G$103))) &gt; 0),$C$6:$C$103))))</f>
        <v>6.4</v>
      </c>
      <c r="Y14" s="1">
        <f t="array" ref="Y14">IF($S14,$P$29*MAX(0,$R14-1*IF(OR(ISNUMBER(SEARCH($O14,H$5)), ISNUMBER(SEARCH($Q14,H$5)), (ISNUMBER(SEARCH("All",H$5)))),$R14,SUMPRODUCT(--((ISNUMBER(SEARCH("All",H$6:H$103)) + ISNUMBER(SEARCH($O14,H$6:H$103)) + ISNUMBER(SEARCH($Q14,H$6:H$103)) +  ISNUMBER(SEARCH($P14,H$6:H$103))) &gt; 0),$C$6:$C$103))),$S$30*$P$29*MAX(0,$R14-1*IF(OR(ISNUMBER(SEARCH($O14,H$5)), ISNUMBER(SEARCH($Q14,H$5)), (ISNUMBER(SEARCH("All",H$5)))),$R14,SUMPRODUCT(--((ISNUMBER(SEARCH("All",H$6:H$103)) + ISNUMBER(SEARCH($O14,H$6:H$103)) + ISNUMBER(SEARCH($Q14,H$6:H$103)) +  ISNUMBER(SEARCH($P14,H$6:H$103))) &gt; 0),$C$6:$C$103))))</f>
        <v>6.4</v>
      </c>
      <c r="Z14" s="1">
        <f t="array" ref="Z14">IF($S14,$P$29*MAX(0,$R14-1*IF(OR(ISNUMBER(SEARCH($O14,I$5)), ISNUMBER(SEARCH($Q14,I$5)), (ISNUMBER(SEARCH("All",I$5)))),$R14,SUMPRODUCT(--((ISNUMBER(SEARCH("All",I$6:I$103)) + ISNUMBER(SEARCH($O14,I$6:I$103)) + ISNUMBER(SEARCH($Q14,I$6:I$103)) +  ISNUMBER(SEARCH($P14,I$6:I$103))) &gt; 0),$C$6:$C$103))),$S$30*$P$29*MAX(0,$R14-1*IF(OR(ISNUMBER(SEARCH($O14,I$5)), ISNUMBER(SEARCH($Q14,I$5)), (ISNUMBER(SEARCH("All",I$5)))),$R14,SUMPRODUCT(--((ISNUMBER(SEARCH("All",I$6:I$103)) + ISNUMBER(SEARCH($O14,I$6:I$103)) + ISNUMBER(SEARCH($Q14,I$6:I$103)) +  ISNUMBER(SEARCH($P14,I$6:I$103))) &gt; 0),$C$6:$C$103))))</f>
        <v>6.4</v>
      </c>
      <c r="AA14" s="1">
        <f t="array" ref="AA14">IF($S14,$P$29*MAX(0,$R14-1*IF(OR(ISNUMBER(SEARCH($O14,J$5)), ISNUMBER(SEARCH($Q14,J$5)), (ISNUMBER(SEARCH("All",J$5)))),$R14,SUMPRODUCT(--((ISNUMBER(SEARCH("All",J$6:J$103)) + ISNUMBER(SEARCH($O14,J$6:J$103)) + ISNUMBER(SEARCH($Q14,J$6:J$103)) +  ISNUMBER(SEARCH($P14,J$6:J$103))) &gt; 0),$C$6:$C$103))),$S$30*$P$29*MAX(0,$R14-1*IF(OR(ISNUMBER(SEARCH($O14,J$5)), ISNUMBER(SEARCH($Q14,J$5)), (ISNUMBER(SEARCH("All",J$5)))),$R14,SUMPRODUCT(--((ISNUMBER(SEARCH("All",J$6:J$103)) + ISNUMBER(SEARCH($O14,J$6:J$103)) + ISNUMBER(SEARCH($Q14,J$6:J$103)) +  ISNUMBER(SEARCH($P14,J$6:J$103))) &gt; 0),$C$6:$C$103))))</f>
        <v>6.4</v>
      </c>
      <c r="AB14" s="1">
        <f t="array" ref="AB14">IF($S14,$P$29*MAX(0,$R14-1*IF(OR(ISNUMBER(SEARCH($O14,K$5)), ISNUMBER(SEARCH($Q14,K$5)), (ISNUMBER(SEARCH("All",K$5)))),$R14,SUMPRODUCT(--((ISNUMBER(SEARCH("All",K$6:K$103)) + ISNUMBER(SEARCH($O14,K$6:K$103)) + ISNUMBER(SEARCH($Q14,K$6:K$103)) +  ISNUMBER(SEARCH($P14,K$6:K$103))) &gt; 0),$C$6:$C$103))),$S$30*$P$29*MAX(0,$R14-1*IF(OR(ISNUMBER(SEARCH($O14,K$5)), ISNUMBER(SEARCH($Q14,K$5)), (ISNUMBER(SEARCH("All",K$5)))),$R14,SUMPRODUCT(--((ISNUMBER(SEARCH("All",K$6:K$103)) + ISNUMBER(SEARCH($O14,K$6:K$103)) + ISNUMBER(SEARCH($Q14,K$6:K$103)) +  ISNUMBER(SEARCH($P14,K$6:K$103))) &gt; 0),$C$6:$C$103))))</f>
        <v>6.4</v>
      </c>
      <c r="AC14" s="1">
        <f t="array" ref="AC14">IF($S14,$P$29*MAX(0,$R14-1*IF(OR(ISNUMBER(SEARCH($O14,L$5)), ISNUMBER(SEARCH($Q14,L$5)), (ISNUMBER(SEARCH("All",L$5)))),$R14,SUMPRODUCT(--((ISNUMBER(SEARCH("All",L$6:L$103)) + ISNUMBER(SEARCH($O14,L$6:L$103)) + ISNUMBER(SEARCH($Q14,L$6:L$103)) +  ISNUMBER(SEARCH($P14,L$6:L$103))) &gt; 0),$C$6:$C$103))),$S$30*$P$29*MAX(0,$R14-1*IF(OR(ISNUMBER(SEARCH($O14,L$5)), ISNUMBER(SEARCH($Q14,L$5)), (ISNUMBER(SEARCH("All",L$5)))),$R14,SUMPRODUCT(--((ISNUMBER(SEARCH("All",L$6:L$103)) + ISNUMBER(SEARCH($O14,L$6:L$103)) + ISNUMBER(SEARCH($Q14,L$6:L$103)) +  ISNUMBER(SEARCH($P14,L$6:L$103))) &gt; 0),$C$6:$C$103))))</f>
        <v>6.4</v>
      </c>
      <c r="AD14" s="1">
        <f t="array" ref="AD14">IF($S14,$P$29*MAX(0,$R14-1*IF(OR(ISNUMBER(SEARCH($O14,M$5)), ISNUMBER(SEARCH($Q14,M$5)), (ISNUMBER(SEARCH("All",M$5)))),$R14,SUMPRODUCT(--((ISNUMBER(SEARCH("All",M$6:M$103)) + ISNUMBER(SEARCH($O14,M$6:M$103)) + ISNUMBER(SEARCH($Q14,M$6:M$103)) +  ISNUMBER(SEARCH($P14,M$6:M$103))) &gt; 0),$C$6:$C$103))),$S$30*$P$29*MAX(0,$R14-1*IF(OR(ISNUMBER(SEARCH($O14,M$5)), ISNUMBER(SEARCH($Q14,M$5)), (ISNUMBER(SEARCH("All",M$5)))),$R14,SUMPRODUCT(--((ISNUMBER(SEARCH("All",M$6:M$103)) + ISNUMBER(SEARCH($O14,M$6:M$103)) + ISNUMBER(SEARCH($Q14,M$6:M$103)) +  ISNUMBER(SEARCH($P14,M$6:M$103))) &gt; 0),$C$6:$C$103))))</f>
        <v>6.4</v>
      </c>
      <c r="AE14" s="6"/>
      <c r="AF14" s="6">
        <f t="shared" si="6"/>
        <v>64</v>
      </c>
      <c r="AG14" s="6"/>
      <c r="AH14" s="6"/>
      <c r="AI14" s="6"/>
      <c r="AJ14" s="28">
        <f t="shared" si="16"/>
        <v>45182</v>
      </c>
      <c r="AK14" s="26"/>
      <c r="AL14" s="26"/>
      <c r="AM14" s="26"/>
      <c r="AN14" s="76" t="str">
        <f t="shared" si="7"/>
        <v/>
      </c>
      <c r="AP14" s="86" t="str">
        <f t="shared" si="8"/>
        <v/>
      </c>
      <c r="AQ14" s="87">
        <f t="shared" si="17"/>
        <v>0.7</v>
      </c>
      <c r="AR14" s="88">
        <f t="shared" si="9"/>
        <v>0</v>
      </c>
      <c r="AS14" s="89">
        <f t="shared" si="10"/>
        <v>0</v>
      </c>
      <c r="AT14" s="90" t="str">
        <f t="shared" si="18"/>
        <v/>
      </c>
      <c r="AU14" s="91">
        <f>ROUND(AD27,2)</f>
        <v>0.07</v>
      </c>
      <c r="AV14" s="88">
        <f t="shared" si="11"/>
        <v>0</v>
      </c>
      <c r="AW14" s="92">
        <f t="shared" si="12"/>
        <v>0</v>
      </c>
      <c r="AX14" s="88">
        <f t="shared" si="13"/>
        <v>0</v>
      </c>
      <c r="AY14" s="92">
        <f t="shared" si="14"/>
        <v>0</v>
      </c>
      <c r="AZ14" s="93" t="str">
        <f t="shared" si="19"/>
        <v/>
      </c>
      <c r="BA14" s="94">
        <f>ROUND(AD$25,2)</f>
        <v>0.07</v>
      </c>
      <c r="BB14" s="95" t="str">
        <f t="shared" si="20"/>
        <v/>
      </c>
      <c r="BC14" s="94">
        <f>ROUND(AD$26,2)</f>
        <v>0.07</v>
      </c>
      <c r="BD14" s="6" t="str">
        <f>AD$4</f>
        <v>śr.</v>
      </c>
      <c r="BE14" s="29"/>
      <c r="BF14" s="29"/>
      <c r="BG14" s="37" t="str">
        <f t="shared" si="15"/>
        <v/>
      </c>
      <c r="BH14" s="38"/>
      <c r="BI14" s="26"/>
      <c r="BV14" s="6"/>
    </row>
    <row r="15">
      <c r="A15" s="7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42"/>
      <c r="N15" s="6"/>
      <c r="P15" s="1" t="s">
        <v>58</v>
      </c>
      <c r="Q15" s="1" t="s">
        <v>57</v>
      </c>
      <c r="R15" s="1">
        <v>8.0</v>
      </c>
      <c r="S15" s="26" t="b">
        <v>1</v>
      </c>
      <c r="T15" s="27">
        <f t="shared" si="5"/>
        <v>6.4</v>
      </c>
      <c r="U15" s="1">
        <f t="array" ref="U15">IF($S15,$P$29*MAX(0,$R15-1*IF(OR(ISNUMBER(SEARCH($O15,D$5)), ISNUMBER(SEARCH($Q15,D$5)), (ISNUMBER(SEARCH("All",D$5)))),$R15,SUMPRODUCT(--((ISNUMBER(SEARCH("All",D$6:D$103)) + ISNUMBER(SEARCH($O15,D$6:D$103)) + ISNUMBER(SEARCH($Q15,D$6:D$103)) +  ISNUMBER(SEARCH($P15,D$6:D$103))) &gt; 0),$C$6:$C$103))),$S$30*$P$29*MAX(0,$R15-1*IF(OR(ISNUMBER(SEARCH($O15,D$5)), ISNUMBER(SEARCH($Q15,D$5)), (ISNUMBER(SEARCH("All",D$5)))),$R15,SUMPRODUCT(--((ISNUMBER(SEARCH("All",D$6:D$103)) + ISNUMBER(SEARCH($O15,D$6:D$103)) + ISNUMBER(SEARCH($Q15,D$6:D$103)) +  ISNUMBER(SEARCH($P15,D$6:D$103))) &gt; 0),$C$6:$C$103))))</f>
        <v>6.4</v>
      </c>
      <c r="V15" s="1">
        <f t="array" ref="V15">IF($S15,$P$29*MAX(0,$R15-1*IF(OR(ISNUMBER(SEARCH($O15,E$5)), ISNUMBER(SEARCH($Q15,E$5)), (ISNUMBER(SEARCH("All",E$5)))),$R15,SUMPRODUCT(--((ISNUMBER(SEARCH("All",E$6:E$103)) + ISNUMBER(SEARCH($O15,E$6:E$103)) + ISNUMBER(SEARCH($Q15,E$6:E$103)) +  ISNUMBER(SEARCH($P15,E$6:E$103))) &gt; 0),$C$6:$C$103))),$S$30*$P$29*MAX(0,$R15-1*IF(OR(ISNUMBER(SEARCH($O15,E$5)), ISNUMBER(SEARCH($Q15,E$5)), (ISNUMBER(SEARCH("All",E$5)))),$R15,SUMPRODUCT(--((ISNUMBER(SEARCH("All",E$6:E$103)) + ISNUMBER(SEARCH($O15,E$6:E$103)) + ISNUMBER(SEARCH($Q15,E$6:E$103)) +  ISNUMBER(SEARCH($P15,E$6:E$103))) &gt; 0),$C$6:$C$103))))</f>
        <v>6.4</v>
      </c>
      <c r="W15" s="1">
        <f t="array" ref="W15">IF($S15,$P$29*MAX(0,$R15-1*IF(OR(ISNUMBER(SEARCH($O15,F$5)), ISNUMBER(SEARCH($Q15,F$5)), (ISNUMBER(SEARCH("All",F$5)))),$R15,SUMPRODUCT(--((ISNUMBER(SEARCH("All",F$6:F$103)) + ISNUMBER(SEARCH($O15,F$6:F$103)) + ISNUMBER(SEARCH($Q15,F$6:F$103)) +  ISNUMBER(SEARCH($P15,F$6:F$103))) &gt; 0),$C$6:$C$103))),$S$30*$P$29*MAX(0,$R15-1*IF(OR(ISNUMBER(SEARCH($O15,F$5)), ISNUMBER(SEARCH($Q15,F$5)), (ISNUMBER(SEARCH("All",F$5)))),$R15,SUMPRODUCT(--((ISNUMBER(SEARCH("All",F$6:F$103)) + ISNUMBER(SEARCH($O15,F$6:F$103)) + ISNUMBER(SEARCH($Q15,F$6:F$103)) +  ISNUMBER(SEARCH($P15,F$6:F$103))) &gt; 0),$C$6:$C$103))))</f>
        <v>6.4</v>
      </c>
      <c r="X15" s="1">
        <f t="array" ref="X15">IF($S15,$P$29*MAX(0,$R15-1*IF(OR(ISNUMBER(SEARCH($O15,G$5)), ISNUMBER(SEARCH($Q15,G$5)), (ISNUMBER(SEARCH("All",G$5)))),$R15,SUMPRODUCT(--((ISNUMBER(SEARCH("All",G$6:G$103)) + ISNUMBER(SEARCH($O15,G$6:G$103)) + ISNUMBER(SEARCH($Q15,G$6:G$103)) +  ISNUMBER(SEARCH($P15,G$6:G$103))) &gt; 0),$C$6:$C$103))),$S$30*$P$29*MAX(0,$R15-1*IF(OR(ISNUMBER(SEARCH($O15,G$5)), ISNUMBER(SEARCH($Q15,G$5)), (ISNUMBER(SEARCH("All",G$5)))),$R15,SUMPRODUCT(--((ISNUMBER(SEARCH("All",G$6:G$103)) + ISNUMBER(SEARCH($O15,G$6:G$103)) + ISNUMBER(SEARCH($Q15,G$6:G$103)) +  ISNUMBER(SEARCH($P15,G$6:G$103))) &gt; 0),$C$6:$C$103))))</f>
        <v>6.4</v>
      </c>
      <c r="Y15" s="1">
        <f t="array" ref="Y15">IF($S15,$P$29*MAX(0,$R15-1*IF(OR(ISNUMBER(SEARCH($O15,H$5)), ISNUMBER(SEARCH($Q15,H$5)), (ISNUMBER(SEARCH("All",H$5)))),$R15,SUMPRODUCT(--((ISNUMBER(SEARCH("All",H$6:H$103)) + ISNUMBER(SEARCH($O15,H$6:H$103)) + ISNUMBER(SEARCH($Q15,H$6:H$103)) +  ISNUMBER(SEARCH($P15,H$6:H$103))) &gt; 0),$C$6:$C$103))),$S$30*$P$29*MAX(0,$R15-1*IF(OR(ISNUMBER(SEARCH($O15,H$5)), ISNUMBER(SEARCH($Q15,H$5)), (ISNUMBER(SEARCH("All",H$5)))),$R15,SUMPRODUCT(--((ISNUMBER(SEARCH("All",H$6:H$103)) + ISNUMBER(SEARCH($O15,H$6:H$103)) + ISNUMBER(SEARCH($Q15,H$6:H$103)) +  ISNUMBER(SEARCH($P15,H$6:H$103))) &gt; 0),$C$6:$C$103))))</f>
        <v>6.4</v>
      </c>
      <c r="Z15" s="1">
        <f t="array" ref="Z15">IF($S15,$P$29*MAX(0,$R15-1*IF(OR(ISNUMBER(SEARCH($O15,I$5)), ISNUMBER(SEARCH($Q15,I$5)), (ISNUMBER(SEARCH("All",I$5)))),$R15,SUMPRODUCT(--((ISNUMBER(SEARCH("All",I$6:I$103)) + ISNUMBER(SEARCH($O15,I$6:I$103)) + ISNUMBER(SEARCH($Q15,I$6:I$103)) +  ISNUMBER(SEARCH($P15,I$6:I$103))) &gt; 0),$C$6:$C$103))),$S$30*$P$29*MAX(0,$R15-1*IF(OR(ISNUMBER(SEARCH($O15,I$5)), ISNUMBER(SEARCH($Q15,I$5)), (ISNUMBER(SEARCH("All",I$5)))),$R15,SUMPRODUCT(--((ISNUMBER(SEARCH("All",I$6:I$103)) + ISNUMBER(SEARCH($O15,I$6:I$103)) + ISNUMBER(SEARCH($Q15,I$6:I$103)) +  ISNUMBER(SEARCH($P15,I$6:I$103))) &gt; 0),$C$6:$C$103))))</f>
        <v>6.4</v>
      </c>
      <c r="AA15" s="1">
        <f t="array" ref="AA15">IF($S15,$P$29*MAX(0,$R15-1*IF(OR(ISNUMBER(SEARCH($O15,J$5)), ISNUMBER(SEARCH($Q15,J$5)), (ISNUMBER(SEARCH("All",J$5)))),$R15,SUMPRODUCT(--((ISNUMBER(SEARCH("All",J$6:J$103)) + ISNUMBER(SEARCH($O15,J$6:J$103)) + ISNUMBER(SEARCH($Q15,J$6:J$103)) +  ISNUMBER(SEARCH($P15,J$6:J$103))) &gt; 0),$C$6:$C$103))),$S$30*$P$29*MAX(0,$R15-1*IF(OR(ISNUMBER(SEARCH($O15,J$5)), ISNUMBER(SEARCH($Q15,J$5)), (ISNUMBER(SEARCH("All",J$5)))),$R15,SUMPRODUCT(--((ISNUMBER(SEARCH("All",J$6:J$103)) + ISNUMBER(SEARCH($O15,J$6:J$103)) + ISNUMBER(SEARCH($Q15,J$6:J$103)) +  ISNUMBER(SEARCH($P15,J$6:J$103))) &gt; 0),$C$6:$C$103))))</f>
        <v>6.4</v>
      </c>
      <c r="AB15" s="1">
        <f t="array" ref="AB15">IF($S15,$P$29*MAX(0,$R15-1*IF(OR(ISNUMBER(SEARCH($O15,K$5)), ISNUMBER(SEARCH($Q15,K$5)), (ISNUMBER(SEARCH("All",K$5)))),$R15,SUMPRODUCT(--((ISNUMBER(SEARCH("All",K$6:K$103)) + ISNUMBER(SEARCH($O15,K$6:K$103)) + ISNUMBER(SEARCH($Q15,K$6:K$103)) +  ISNUMBER(SEARCH($P15,K$6:K$103))) &gt; 0),$C$6:$C$103))),$S$30*$P$29*MAX(0,$R15-1*IF(OR(ISNUMBER(SEARCH($O15,K$5)), ISNUMBER(SEARCH($Q15,K$5)), (ISNUMBER(SEARCH("All",K$5)))),$R15,SUMPRODUCT(--((ISNUMBER(SEARCH("All",K$6:K$103)) + ISNUMBER(SEARCH($O15,K$6:K$103)) + ISNUMBER(SEARCH($Q15,K$6:K$103)) +  ISNUMBER(SEARCH($P15,K$6:K$103))) &gt; 0),$C$6:$C$103))))</f>
        <v>6.4</v>
      </c>
      <c r="AC15" s="1">
        <f t="array" ref="AC15">IF($S15,$P$29*MAX(0,$R15-1*IF(OR(ISNUMBER(SEARCH($O15,L$5)), ISNUMBER(SEARCH($Q15,L$5)), (ISNUMBER(SEARCH("All",L$5)))),$R15,SUMPRODUCT(--((ISNUMBER(SEARCH("All",L$6:L$103)) + ISNUMBER(SEARCH($O15,L$6:L$103)) + ISNUMBER(SEARCH($Q15,L$6:L$103)) +  ISNUMBER(SEARCH($P15,L$6:L$103))) &gt; 0),$C$6:$C$103))),$S$30*$P$29*MAX(0,$R15-1*IF(OR(ISNUMBER(SEARCH($O15,L$5)), ISNUMBER(SEARCH($Q15,L$5)), (ISNUMBER(SEARCH("All",L$5)))),$R15,SUMPRODUCT(--((ISNUMBER(SEARCH("All",L$6:L$103)) + ISNUMBER(SEARCH($O15,L$6:L$103)) + ISNUMBER(SEARCH($Q15,L$6:L$103)) +  ISNUMBER(SEARCH($P15,L$6:L$103))) &gt; 0),$C$6:$C$103))))</f>
        <v>6.4</v>
      </c>
      <c r="AD15" s="1">
        <f t="array" ref="AD15">IF($S15,$P$29*MAX(0,$R15-1*IF(OR(ISNUMBER(SEARCH($O15,M$5)), ISNUMBER(SEARCH($Q15,M$5)), (ISNUMBER(SEARCH("All",M$5)))),$R15,SUMPRODUCT(--((ISNUMBER(SEARCH("All",M$6:M$103)) + ISNUMBER(SEARCH($O15,M$6:M$103)) + ISNUMBER(SEARCH($Q15,M$6:M$103)) +  ISNUMBER(SEARCH($P15,M$6:M$103))) &gt; 0),$C$6:$C$103))),$S$30*$P$29*MAX(0,$R15-1*IF(OR(ISNUMBER(SEARCH($O15,M$5)), ISNUMBER(SEARCH($Q15,M$5)), (ISNUMBER(SEARCH("All",M$5)))),$R15,SUMPRODUCT(--((ISNUMBER(SEARCH("All",M$6:M$103)) + ISNUMBER(SEARCH($O15,M$6:M$103)) + ISNUMBER(SEARCH($Q15,M$6:M$103)) +  ISNUMBER(SEARCH($P15,M$6:M$103))) &gt; 0),$C$6:$C$103))))</f>
        <v>6.4</v>
      </c>
      <c r="AE15" s="6"/>
      <c r="AF15" s="6">
        <f t="shared" si="6"/>
        <v>64</v>
      </c>
      <c r="AG15" s="6"/>
      <c r="AH15" s="6"/>
      <c r="AI15" s="6"/>
      <c r="BB15" s="6"/>
      <c r="BC15" s="6"/>
      <c r="BD15" s="6"/>
      <c r="BE15" s="6"/>
      <c r="BF15" s="6"/>
      <c r="BG15" s="6"/>
      <c r="BH15" s="6"/>
      <c r="BU15" s="6"/>
      <c r="BV15" s="6"/>
    </row>
    <row r="16">
      <c r="A16" s="7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42"/>
      <c r="N16" s="6"/>
      <c r="P16" s="1" t="s">
        <v>56</v>
      </c>
      <c r="Q16" s="1" t="s">
        <v>59</v>
      </c>
      <c r="R16" s="1">
        <v>8.0</v>
      </c>
      <c r="S16" s="26" t="b">
        <v>1</v>
      </c>
      <c r="T16" s="27">
        <f t="shared" si="5"/>
        <v>6.4</v>
      </c>
      <c r="U16" s="1">
        <f t="array" ref="U16">IF($S16,$P$29*MAX(0,$R16-1*IF(OR(ISNUMBER(SEARCH($O16,D$5)), ISNUMBER(SEARCH($Q16,D$5)), (ISNUMBER(SEARCH("All",D$5)))),$R16,SUMPRODUCT(--((ISNUMBER(SEARCH("All",D$6:D$103)) + ISNUMBER(SEARCH($O16,D$6:D$103)) + ISNUMBER(SEARCH($Q16,D$6:D$103)) +  ISNUMBER(SEARCH($P16,D$6:D$103))) &gt; 0),$C$6:$C$103))),$S$30*$P$29*MAX(0,$R16-1*IF(OR(ISNUMBER(SEARCH($O16,D$5)), ISNUMBER(SEARCH($Q16,D$5)), (ISNUMBER(SEARCH("All",D$5)))),$R16,SUMPRODUCT(--((ISNUMBER(SEARCH("All",D$6:D$103)) + ISNUMBER(SEARCH($O16,D$6:D$103)) + ISNUMBER(SEARCH($Q16,D$6:D$103)) +  ISNUMBER(SEARCH($P16,D$6:D$103))) &gt; 0),$C$6:$C$103))))</f>
        <v>6.4</v>
      </c>
      <c r="V16" s="1">
        <f t="array" ref="V16">IF($S16,$P$29*MAX(0,$R16-1*IF(OR(ISNUMBER(SEARCH($O16,E$5)), ISNUMBER(SEARCH($Q16,E$5)), (ISNUMBER(SEARCH("All",E$5)))),$R16,SUMPRODUCT(--((ISNUMBER(SEARCH("All",E$6:E$103)) + ISNUMBER(SEARCH($O16,E$6:E$103)) + ISNUMBER(SEARCH($Q16,E$6:E$103)) +  ISNUMBER(SEARCH($P16,E$6:E$103))) &gt; 0),$C$6:$C$103))),$S$30*$P$29*MAX(0,$R16-1*IF(OR(ISNUMBER(SEARCH($O16,E$5)), ISNUMBER(SEARCH($Q16,E$5)), (ISNUMBER(SEARCH("All",E$5)))),$R16,SUMPRODUCT(--((ISNUMBER(SEARCH("All",E$6:E$103)) + ISNUMBER(SEARCH($O16,E$6:E$103)) + ISNUMBER(SEARCH($Q16,E$6:E$103)) +  ISNUMBER(SEARCH($P16,E$6:E$103))) &gt; 0),$C$6:$C$103))))</f>
        <v>6.4</v>
      </c>
      <c r="W16" s="1">
        <f t="array" ref="W16">IF($S16,$P$29*MAX(0,$R16-1*IF(OR(ISNUMBER(SEARCH($O16,F$5)), ISNUMBER(SEARCH($Q16,F$5)), (ISNUMBER(SEARCH("All",F$5)))),$R16,SUMPRODUCT(--((ISNUMBER(SEARCH("All",F$6:F$103)) + ISNUMBER(SEARCH($O16,F$6:F$103)) + ISNUMBER(SEARCH($Q16,F$6:F$103)) +  ISNUMBER(SEARCH($P16,F$6:F$103))) &gt; 0),$C$6:$C$103))),$S$30*$P$29*MAX(0,$R16-1*IF(OR(ISNUMBER(SEARCH($O16,F$5)), ISNUMBER(SEARCH($Q16,F$5)), (ISNUMBER(SEARCH("All",F$5)))),$R16,SUMPRODUCT(--((ISNUMBER(SEARCH("All",F$6:F$103)) + ISNUMBER(SEARCH($O16,F$6:F$103)) + ISNUMBER(SEARCH($Q16,F$6:F$103)) +  ISNUMBER(SEARCH($P16,F$6:F$103))) &gt; 0),$C$6:$C$103))))</f>
        <v>6.4</v>
      </c>
      <c r="X16" s="1">
        <f t="array" ref="X16">IF($S16,$P$29*MAX(0,$R16-1*IF(OR(ISNUMBER(SEARCH($O16,G$5)), ISNUMBER(SEARCH($Q16,G$5)), (ISNUMBER(SEARCH("All",G$5)))),$R16,SUMPRODUCT(--((ISNUMBER(SEARCH("All",G$6:G$103)) + ISNUMBER(SEARCH($O16,G$6:G$103)) + ISNUMBER(SEARCH($Q16,G$6:G$103)) +  ISNUMBER(SEARCH($P16,G$6:G$103))) &gt; 0),$C$6:$C$103))),$S$30*$P$29*MAX(0,$R16-1*IF(OR(ISNUMBER(SEARCH($O16,G$5)), ISNUMBER(SEARCH($Q16,G$5)), (ISNUMBER(SEARCH("All",G$5)))),$R16,SUMPRODUCT(--((ISNUMBER(SEARCH("All",G$6:G$103)) + ISNUMBER(SEARCH($O16,G$6:G$103)) + ISNUMBER(SEARCH($Q16,G$6:G$103)) +  ISNUMBER(SEARCH($P16,G$6:G$103))) &gt; 0),$C$6:$C$103))))</f>
        <v>6.4</v>
      </c>
      <c r="Y16" s="1">
        <f t="array" ref="Y16">IF($S16,$P$29*MAX(0,$R16-1*IF(OR(ISNUMBER(SEARCH($O16,H$5)), ISNUMBER(SEARCH($Q16,H$5)), (ISNUMBER(SEARCH("All",H$5)))),$R16,SUMPRODUCT(--((ISNUMBER(SEARCH("All",H$6:H$103)) + ISNUMBER(SEARCH($O16,H$6:H$103)) + ISNUMBER(SEARCH($Q16,H$6:H$103)) +  ISNUMBER(SEARCH($P16,H$6:H$103))) &gt; 0),$C$6:$C$103))),$S$30*$P$29*MAX(0,$R16-1*IF(OR(ISNUMBER(SEARCH($O16,H$5)), ISNUMBER(SEARCH($Q16,H$5)), (ISNUMBER(SEARCH("All",H$5)))),$R16,SUMPRODUCT(--((ISNUMBER(SEARCH("All",H$6:H$103)) + ISNUMBER(SEARCH($O16,H$6:H$103)) + ISNUMBER(SEARCH($Q16,H$6:H$103)) +  ISNUMBER(SEARCH($P16,H$6:H$103))) &gt; 0),$C$6:$C$103))))</f>
        <v>6.4</v>
      </c>
      <c r="Z16" s="1">
        <f t="array" ref="Z16">IF($S16,$P$29*MAX(0,$R16-1*IF(OR(ISNUMBER(SEARCH($O16,I$5)), ISNUMBER(SEARCH($Q16,I$5)), (ISNUMBER(SEARCH("All",I$5)))),$R16,SUMPRODUCT(--((ISNUMBER(SEARCH("All",I$6:I$103)) + ISNUMBER(SEARCH($O16,I$6:I$103)) + ISNUMBER(SEARCH($Q16,I$6:I$103)) +  ISNUMBER(SEARCH($P16,I$6:I$103))) &gt; 0),$C$6:$C$103))),$S$30*$P$29*MAX(0,$R16-1*IF(OR(ISNUMBER(SEARCH($O16,I$5)), ISNUMBER(SEARCH($Q16,I$5)), (ISNUMBER(SEARCH("All",I$5)))),$R16,SUMPRODUCT(--((ISNUMBER(SEARCH("All",I$6:I$103)) + ISNUMBER(SEARCH($O16,I$6:I$103)) + ISNUMBER(SEARCH($Q16,I$6:I$103)) +  ISNUMBER(SEARCH($P16,I$6:I$103))) &gt; 0),$C$6:$C$103))))</f>
        <v>6.4</v>
      </c>
      <c r="AA16" s="1">
        <f t="array" ref="AA16">IF($S16,$P$29*MAX(0,$R16-1*IF(OR(ISNUMBER(SEARCH($O16,J$5)), ISNUMBER(SEARCH($Q16,J$5)), (ISNUMBER(SEARCH("All",J$5)))),$R16,SUMPRODUCT(--((ISNUMBER(SEARCH("All",J$6:J$103)) + ISNUMBER(SEARCH($O16,J$6:J$103)) + ISNUMBER(SEARCH($Q16,J$6:J$103)) +  ISNUMBER(SEARCH($P16,J$6:J$103))) &gt; 0),$C$6:$C$103))),$S$30*$P$29*MAX(0,$R16-1*IF(OR(ISNUMBER(SEARCH($O16,J$5)), ISNUMBER(SEARCH($Q16,J$5)), (ISNUMBER(SEARCH("All",J$5)))),$R16,SUMPRODUCT(--((ISNUMBER(SEARCH("All",J$6:J$103)) + ISNUMBER(SEARCH($O16,J$6:J$103)) + ISNUMBER(SEARCH($Q16,J$6:J$103)) +  ISNUMBER(SEARCH($P16,J$6:J$103))) &gt; 0),$C$6:$C$103))))</f>
        <v>6.4</v>
      </c>
      <c r="AB16" s="1">
        <f t="array" ref="AB16">IF($S16,$P$29*MAX(0,$R16-1*IF(OR(ISNUMBER(SEARCH($O16,K$5)), ISNUMBER(SEARCH($Q16,K$5)), (ISNUMBER(SEARCH("All",K$5)))),$R16,SUMPRODUCT(--((ISNUMBER(SEARCH("All",K$6:K$103)) + ISNUMBER(SEARCH($O16,K$6:K$103)) + ISNUMBER(SEARCH($Q16,K$6:K$103)) +  ISNUMBER(SEARCH($P16,K$6:K$103))) &gt; 0),$C$6:$C$103))),$S$30*$P$29*MAX(0,$R16-1*IF(OR(ISNUMBER(SEARCH($O16,K$5)), ISNUMBER(SEARCH($Q16,K$5)), (ISNUMBER(SEARCH("All",K$5)))),$R16,SUMPRODUCT(--((ISNUMBER(SEARCH("All",K$6:K$103)) + ISNUMBER(SEARCH($O16,K$6:K$103)) + ISNUMBER(SEARCH($Q16,K$6:K$103)) +  ISNUMBER(SEARCH($P16,K$6:K$103))) &gt; 0),$C$6:$C$103))))</f>
        <v>6.4</v>
      </c>
      <c r="AC16" s="1">
        <f t="array" ref="AC16">IF($S16,$P$29*MAX(0,$R16-1*IF(OR(ISNUMBER(SEARCH($O16,L$5)), ISNUMBER(SEARCH($Q16,L$5)), (ISNUMBER(SEARCH("All",L$5)))),$R16,SUMPRODUCT(--((ISNUMBER(SEARCH("All",L$6:L$103)) + ISNUMBER(SEARCH($O16,L$6:L$103)) + ISNUMBER(SEARCH($Q16,L$6:L$103)) +  ISNUMBER(SEARCH($P16,L$6:L$103))) &gt; 0),$C$6:$C$103))),$S$30*$P$29*MAX(0,$R16-1*IF(OR(ISNUMBER(SEARCH($O16,L$5)), ISNUMBER(SEARCH($Q16,L$5)), (ISNUMBER(SEARCH("All",L$5)))),$R16,SUMPRODUCT(--((ISNUMBER(SEARCH("All",L$6:L$103)) + ISNUMBER(SEARCH($O16,L$6:L$103)) + ISNUMBER(SEARCH($Q16,L$6:L$103)) +  ISNUMBER(SEARCH($P16,L$6:L$103))) &gt; 0),$C$6:$C$103))))</f>
        <v>6.4</v>
      </c>
      <c r="AD16" s="1">
        <f t="array" ref="AD16">IF($S16,$P$29*MAX(0,$R16-1*IF(OR(ISNUMBER(SEARCH($O16,M$5)), ISNUMBER(SEARCH($Q16,M$5)), (ISNUMBER(SEARCH("All",M$5)))),$R16,SUMPRODUCT(--((ISNUMBER(SEARCH("All",M$6:M$103)) + ISNUMBER(SEARCH($O16,M$6:M$103)) + ISNUMBER(SEARCH($Q16,M$6:M$103)) +  ISNUMBER(SEARCH($P16,M$6:M$103))) &gt; 0),$C$6:$C$103))),$S$30*$P$29*MAX(0,$R16-1*IF(OR(ISNUMBER(SEARCH($O16,M$5)), ISNUMBER(SEARCH($Q16,M$5)), (ISNUMBER(SEARCH("All",M$5)))),$R16,SUMPRODUCT(--((ISNUMBER(SEARCH("All",M$6:M$103)) + ISNUMBER(SEARCH($O16,M$6:M$103)) + ISNUMBER(SEARCH($Q16,M$6:M$103)) +  ISNUMBER(SEARCH($P16,M$6:M$103))) &gt; 0),$C$6:$C$103))))</f>
        <v>6.4</v>
      </c>
      <c r="AE16" s="6"/>
      <c r="AF16" s="6">
        <f t="shared" si="6"/>
        <v>64</v>
      </c>
      <c r="AG16" s="6"/>
      <c r="AH16" s="6"/>
      <c r="AI16" s="6"/>
      <c r="BB16" s="6"/>
      <c r="BC16" s="6"/>
      <c r="BD16" s="6"/>
      <c r="BE16" s="6"/>
      <c r="BF16" s="6"/>
      <c r="BG16" s="6"/>
      <c r="BH16" s="6"/>
      <c r="BU16" s="6"/>
      <c r="BV16" s="6"/>
    </row>
    <row r="17">
      <c r="A17" s="7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42"/>
      <c r="N17" s="6"/>
      <c r="P17" s="1" t="s">
        <v>58</v>
      </c>
      <c r="Q17" s="1" t="s">
        <v>59</v>
      </c>
      <c r="R17" s="1">
        <v>8.0</v>
      </c>
      <c r="S17" s="26" t="b">
        <v>1</v>
      </c>
      <c r="T17" s="27">
        <f t="shared" si="5"/>
        <v>6.4</v>
      </c>
      <c r="U17" s="1">
        <f t="array" ref="U17">IF($S17,$P$29*MAX(0,$R17-1*IF(OR(ISNUMBER(SEARCH($O17,D$5)), ISNUMBER(SEARCH($Q17,D$5)), (ISNUMBER(SEARCH("All",D$5)))),$R17,SUMPRODUCT(--((ISNUMBER(SEARCH("All",D$6:D$103)) + ISNUMBER(SEARCH($O17,D$6:D$103)) + ISNUMBER(SEARCH($Q17,D$6:D$103)) +  ISNUMBER(SEARCH($P17,D$6:D$103))) &gt; 0),$C$6:$C$103))),$S$30*$P$29*MAX(0,$R17-1*IF(OR(ISNUMBER(SEARCH($O17,D$5)), ISNUMBER(SEARCH($Q17,D$5)), (ISNUMBER(SEARCH("All",D$5)))),$R17,SUMPRODUCT(--((ISNUMBER(SEARCH("All",D$6:D$103)) + ISNUMBER(SEARCH($O17,D$6:D$103)) + ISNUMBER(SEARCH($Q17,D$6:D$103)) +  ISNUMBER(SEARCH($P17,D$6:D$103))) &gt; 0),$C$6:$C$103))))</f>
        <v>6.4</v>
      </c>
      <c r="V17" s="1">
        <f t="array" ref="V17">IF($S17,$P$29*MAX(0,$R17-1*IF(OR(ISNUMBER(SEARCH($O17,E$5)), ISNUMBER(SEARCH($Q17,E$5)), (ISNUMBER(SEARCH("All",E$5)))),$R17,SUMPRODUCT(--((ISNUMBER(SEARCH("All",E$6:E$103)) + ISNUMBER(SEARCH($O17,E$6:E$103)) + ISNUMBER(SEARCH($Q17,E$6:E$103)) +  ISNUMBER(SEARCH($P17,E$6:E$103))) &gt; 0),$C$6:$C$103))),$S$30*$P$29*MAX(0,$R17-1*IF(OR(ISNUMBER(SEARCH($O17,E$5)), ISNUMBER(SEARCH($Q17,E$5)), (ISNUMBER(SEARCH("All",E$5)))),$R17,SUMPRODUCT(--((ISNUMBER(SEARCH("All",E$6:E$103)) + ISNUMBER(SEARCH($O17,E$6:E$103)) + ISNUMBER(SEARCH($Q17,E$6:E$103)) +  ISNUMBER(SEARCH($P17,E$6:E$103))) &gt; 0),$C$6:$C$103))))</f>
        <v>6.4</v>
      </c>
      <c r="W17" s="1">
        <f t="array" ref="W17">IF($S17,$P$29*MAX(0,$R17-1*IF(OR(ISNUMBER(SEARCH($O17,F$5)), ISNUMBER(SEARCH($Q17,F$5)), (ISNUMBER(SEARCH("All",F$5)))),$R17,SUMPRODUCT(--((ISNUMBER(SEARCH("All",F$6:F$103)) + ISNUMBER(SEARCH($O17,F$6:F$103)) + ISNUMBER(SEARCH($Q17,F$6:F$103)) +  ISNUMBER(SEARCH($P17,F$6:F$103))) &gt; 0),$C$6:$C$103))),$S$30*$P$29*MAX(0,$R17-1*IF(OR(ISNUMBER(SEARCH($O17,F$5)), ISNUMBER(SEARCH($Q17,F$5)), (ISNUMBER(SEARCH("All",F$5)))),$R17,SUMPRODUCT(--((ISNUMBER(SEARCH("All",F$6:F$103)) + ISNUMBER(SEARCH($O17,F$6:F$103)) + ISNUMBER(SEARCH($Q17,F$6:F$103)) +  ISNUMBER(SEARCH($P17,F$6:F$103))) &gt; 0),$C$6:$C$103))))</f>
        <v>6.4</v>
      </c>
      <c r="X17" s="1">
        <f t="array" ref="X17">IF($S17,$P$29*MAX(0,$R17-1*IF(OR(ISNUMBER(SEARCH($O17,G$5)), ISNUMBER(SEARCH($Q17,G$5)), (ISNUMBER(SEARCH("All",G$5)))),$R17,SUMPRODUCT(--((ISNUMBER(SEARCH("All",G$6:G$103)) + ISNUMBER(SEARCH($O17,G$6:G$103)) + ISNUMBER(SEARCH($Q17,G$6:G$103)) +  ISNUMBER(SEARCH($P17,G$6:G$103))) &gt; 0),$C$6:$C$103))),$S$30*$P$29*MAX(0,$R17-1*IF(OR(ISNUMBER(SEARCH($O17,G$5)), ISNUMBER(SEARCH($Q17,G$5)), (ISNUMBER(SEARCH("All",G$5)))),$R17,SUMPRODUCT(--((ISNUMBER(SEARCH("All",G$6:G$103)) + ISNUMBER(SEARCH($O17,G$6:G$103)) + ISNUMBER(SEARCH($Q17,G$6:G$103)) +  ISNUMBER(SEARCH($P17,G$6:G$103))) &gt; 0),$C$6:$C$103))))</f>
        <v>6.4</v>
      </c>
      <c r="Y17" s="1">
        <f t="array" ref="Y17">IF($S17,$P$29*MAX(0,$R17-1*IF(OR(ISNUMBER(SEARCH($O17,H$5)), ISNUMBER(SEARCH($Q17,H$5)), (ISNUMBER(SEARCH("All",H$5)))),$R17,SUMPRODUCT(--((ISNUMBER(SEARCH("All",H$6:H$103)) + ISNUMBER(SEARCH($O17,H$6:H$103)) + ISNUMBER(SEARCH($Q17,H$6:H$103)) +  ISNUMBER(SEARCH($P17,H$6:H$103))) &gt; 0),$C$6:$C$103))),$S$30*$P$29*MAX(0,$R17-1*IF(OR(ISNUMBER(SEARCH($O17,H$5)), ISNUMBER(SEARCH($Q17,H$5)), (ISNUMBER(SEARCH("All",H$5)))),$R17,SUMPRODUCT(--((ISNUMBER(SEARCH("All",H$6:H$103)) + ISNUMBER(SEARCH($O17,H$6:H$103)) + ISNUMBER(SEARCH($Q17,H$6:H$103)) +  ISNUMBER(SEARCH($P17,H$6:H$103))) &gt; 0),$C$6:$C$103))))</f>
        <v>6.4</v>
      </c>
      <c r="Z17" s="1">
        <f t="array" ref="Z17">IF($S17,$P$29*MAX(0,$R17-1*IF(OR(ISNUMBER(SEARCH($O17,I$5)), ISNUMBER(SEARCH($Q17,I$5)), (ISNUMBER(SEARCH("All",I$5)))),$R17,SUMPRODUCT(--((ISNUMBER(SEARCH("All",I$6:I$103)) + ISNUMBER(SEARCH($O17,I$6:I$103)) + ISNUMBER(SEARCH($Q17,I$6:I$103)) +  ISNUMBER(SEARCH($P17,I$6:I$103))) &gt; 0),$C$6:$C$103))),$S$30*$P$29*MAX(0,$R17-1*IF(OR(ISNUMBER(SEARCH($O17,I$5)), ISNUMBER(SEARCH($Q17,I$5)), (ISNUMBER(SEARCH("All",I$5)))),$R17,SUMPRODUCT(--((ISNUMBER(SEARCH("All",I$6:I$103)) + ISNUMBER(SEARCH($O17,I$6:I$103)) + ISNUMBER(SEARCH($Q17,I$6:I$103)) +  ISNUMBER(SEARCH($P17,I$6:I$103))) &gt; 0),$C$6:$C$103))))</f>
        <v>6.4</v>
      </c>
      <c r="AA17" s="1">
        <f t="array" ref="AA17">IF($S17,$P$29*MAX(0,$R17-1*IF(OR(ISNUMBER(SEARCH($O17,J$5)), ISNUMBER(SEARCH($Q17,J$5)), (ISNUMBER(SEARCH("All",J$5)))),$R17,SUMPRODUCT(--((ISNUMBER(SEARCH("All",J$6:J$103)) + ISNUMBER(SEARCH($O17,J$6:J$103)) + ISNUMBER(SEARCH($Q17,J$6:J$103)) +  ISNUMBER(SEARCH($P17,J$6:J$103))) &gt; 0),$C$6:$C$103))),$S$30*$P$29*MAX(0,$R17-1*IF(OR(ISNUMBER(SEARCH($O17,J$5)), ISNUMBER(SEARCH($Q17,J$5)), (ISNUMBER(SEARCH("All",J$5)))),$R17,SUMPRODUCT(--((ISNUMBER(SEARCH("All",J$6:J$103)) + ISNUMBER(SEARCH($O17,J$6:J$103)) + ISNUMBER(SEARCH($Q17,J$6:J$103)) +  ISNUMBER(SEARCH($P17,J$6:J$103))) &gt; 0),$C$6:$C$103))))</f>
        <v>6.4</v>
      </c>
      <c r="AB17" s="1">
        <f t="array" ref="AB17">IF($S17,$P$29*MAX(0,$R17-1*IF(OR(ISNUMBER(SEARCH($O17,K$5)), ISNUMBER(SEARCH($Q17,K$5)), (ISNUMBER(SEARCH("All",K$5)))),$R17,SUMPRODUCT(--((ISNUMBER(SEARCH("All",K$6:K$103)) + ISNUMBER(SEARCH($O17,K$6:K$103)) + ISNUMBER(SEARCH($Q17,K$6:K$103)) +  ISNUMBER(SEARCH($P17,K$6:K$103))) &gt; 0),$C$6:$C$103))),$S$30*$P$29*MAX(0,$R17-1*IF(OR(ISNUMBER(SEARCH($O17,K$5)), ISNUMBER(SEARCH($Q17,K$5)), (ISNUMBER(SEARCH("All",K$5)))),$R17,SUMPRODUCT(--((ISNUMBER(SEARCH("All",K$6:K$103)) + ISNUMBER(SEARCH($O17,K$6:K$103)) + ISNUMBER(SEARCH($Q17,K$6:K$103)) +  ISNUMBER(SEARCH($P17,K$6:K$103))) &gt; 0),$C$6:$C$103))))</f>
        <v>6.4</v>
      </c>
      <c r="AC17" s="1">
        <f t="array" ref="AC17">IF($S17,$P$29*MAX(0,$R17-1*IF(OR(ISNUMBER(SEARCH($O17,L$5)), ISNUMBER(SEARCH($Q17,L$5)), (ISNUMBER(SEARCH("All",L$5)))),$R17,SUMPRODUCT(--((ISNUMBER(SEARCH("All",L$6:L$103)) + ISNUMBER(SEARCH($O17,L$6:L$103)) + ISNUMBER(SEARCH($Q17,L$6:L$103)) +  ISNUMBER(SEARCH($P17,L$6:L$103))) &gt; 0),$C$6:$C$103))),$S$30*$P$29*MAX(0,$R17-1*IF(OR(ISNUMBER(SEARCH($O17,L$5)), ISNUMBER(SEARCH($Q17,L$5)), (ISNUMBER(SEARCH("All",L$5)))),$R17,SUMPRODUCT(--((ISNUMBER(SEARCH("All",L$6:L$103)) + ISNUMBER(SEARCH($O17,L$6:L$103)) + ISNUMBER(SEARCH($Q17,L$6:L$103)) +  ISNUMBER(SEARCH($P17,L$6:L$103))) &gt; 0),$C$6:$C$103))))</f>
        <v>6.4</v>
      </c>
      <c r="AD17" s="1">
        <f t="array" ref="AD17">IF($S17,$P$29*MAX(0,$R17-1*IF(OR(ISNUMBER(SEARCH($O17,M$5)), ISNUMBER(SEARCH($Q17,M$5)), (ISNUMBER(SEARCH("All",M$5)))),$R17,SUMPRODUCT(--((ISNUMBER(SEARCH("All",M$6:M$103)) + ISNUMBER(SEARCH($O17,M$6:M$103)) + ISNUMBER(SEARCH($Q17,M$6:M$103)) +  ISNUMBER(SEARCH($P17,M$6:M$103))) &gt; 0),$C$6:$C$103))),$S$30*$P$29*MAX(0,$R17-1*IF(OR(ISNUMBER(SEARCH($O17,M$5)), ISNUMBER(SEARCH($Q17,M$5)), (ISNUMBER(SEARCH("All",M$5)))),$R17,SUMPRODUCT(--((ISNUMBER(SEARCH("All",M$6:M$103)) + ISNUMBER(SEARCH($O17,M$6:M$103)) + ISNUMBER(SEARCH($Q17,M$6:M$103)) +  ISNUMBER(SEARCH($P17,M$6:M$103))) &gt; 0),$C$6:$C$103))))</f>
        <v>6.4</v>
      </c>
      <c r="AE17" s="6"/>
      <c r="AF17" s="6">
        <f t="shared" si="6"/>
        <v>64</v>
      </c>
      <c r="AG17" s="6"/>
      <c r="AH17" s="6"/>
      <c r="AI17" s="6"/>
      <c r="BB17" s="6"/>
      <c r="BC17" s="6"/>
      <c r="BD17" s="6"/>
      <c r="BE17" s="6"/>
      <c r="BF17" s="6"/>
      <c r="BG17" s="6"/>
      <c r="BH17" s="6"/>
      <c r="BU17" s="6"/>
      <c r="BV17" s="6"/>
    </row>
    <row r="18">
      <c r="A18" s="7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42"/>
      <c r="N18" s="6"/>
      <c r="P18" s="1" t="s">
        <v>58</v>
      </c>
      <c r="Q18" s="1" t="s">
        <v>59</v>
      </c>
      <c r="R18" s="1">
        <v>8.0</v>
      </c>
      <c r="S18" s="26" t="b">
        <v>1</v>
      </c>
      <c r="T18" s="27">
        <f t="shared" si="5"/>
        <v>6.4</v>
      </c>
      <c r="U18" s="1">
        <f t="array" ref="U18">IF($S18,$P$29*MAX(0,$R18-1*IF(OR(ISNUMBER(SEARCH($O18,D$5)), ISNUMBER(SEARCH($Q18,D$5)), (ISNUMBER(SEARCH("All",D$5)))),$R18,SUMPRODUCT(--((ISNUMBER(SEARCH("All",D$6:D$103)) + ISNUMBER(SEARCH($O18,D$6:D$103)) + ISNUMBER(SEARCH($Q18,D$6:D$103)) +  ISNUMBER(SEARCH($P18,D$6:D$103))) &gt; 0),$C$6:$C$103))),$S$30*$P$29*MAX(0,$R18-1*IF(OR(ISNUMBER(SEARCH($O18,D$5)), ISNUMBER(SEARCH($Q18,D$5)), (ISNUMBER(SEARCH("All",D$5)))),$R18,SUMPRODUCT(--((ISNUMBER(SEARCH("All",D$6:D$103)) + ISNUMBER(SEARCH($O18,D$6:D$103)) + ISNUMBER(SEARCH($Q18,D$6:D$103)) +  ISNUMBER(SEARCH($P18,D$6:D$103))) &gt; 0),$C$6:$C$103))))</f>
        <v>6.4</v>
      </c>
      <c r="V18" s="1">
        <f t="array" ref="V18">IF($S18,$P$29*MAX(0,$R18-1*IF(OR(ISNUMBER(SEARCH($O18,E$5)), ISNUMBER(SEARCH($Q18,E$5)), (ISNUMBER(SEARCH("All",E$5)))),$R18,SUMPRODUCT(--((ISNUMBER(SEARCH("All",E$6:E$103)) + ISNUMBER(SEARCH($O18,E$6:E$103)) + ISNUMBER(SEARCH($Q18,E$6:E$103)) +  ISNUMBER(SEARCH($P18,E$6:E$103))) &gt; 0),$C$6:$C$103))),$S$30*$P$29*MAX(0,$R18-1*IF(OR(ISNUMBER(SEARCH($O18,E$5)), ISNUMBER(SEARCH($Q18,E$5)), (ISNUMBER(SEARCH("All",E$5)))),$R18,SUMPRODUCT(--((ISNUMBER(SEARCH("All",E$6:E$103)) + ISNUMBER(SEARCH($O18,E$6:E$103)) + ISNUMBER(SEARCH($Q18,E$6:E$103)) +  ISNUMBER(SEARCH($P18,E$6:E$103))) &gt; 0),$C$6:$C$103))))</f>
        <v>6.4</v>
      </c>
      <c r="W18" s="1">
        <f t="array" ref="W18">IF($S18,$P$29*MAX(0,$R18-1*IF(OR(ISNUMBER(SEARCH($O18,F$5)), ISNUMBER(SEARCH($Q18,F$5)), (ISNUMBER(SEARCH("All",F$5)))),$R18,SUMPRODUCT(--((ISNUMBER(SEARCH("All",F$6:F$103)) + ISNUMBER(SEARCH($O18,F$6:F$103)) + ISNUMBER(SEARCH($Q18,F$6:F$103)) +  ISNUMBER(SEARCH($P18,F$6:F$103))) &gt; 0),$C$6:$C$103))),$S$30*$P$29*MAX(0,$R18-1*IF(OR(ISNUMBER(SEARCH($O18,F$5)), ISNUMBER(SEARCH($Q18,F$5)), (ISNUMBER(SEARCH("All",F$5)))),$R18,SUMPRODUCT(--((ISNUMBER(SEARCH("All",F$6:F$103)) + ISNUMBER(SEARCH($O18,F$6:F$103)) + ISNUMBER(SEARCH($Q18,F$6:F$103)) +  ISNUMBER(SEARCH($P18,F$6:F$103))) &gt; 0),$C$6:$C$103))))</f>
        <v>6.4</v>
      </c>
      <c r="X18" s="1">
        <f t="array" ref="X18">IF($S18,$P$29*MAX(0,$R18-1*IF(OR(ISNUMBER(SEARCH($O18,G$5)), ISNUMBER(SEARCH($Q18,G$5)), (ISNUMBER(SEARCH("All",G$5)))),$R18,SUMPRODUCT(--((ISNUMBER(SEARCH("All",G$6:G$103)) + ISNUMBER(SEARCH($O18,G$6:G$103)) + ISNUMBER(SEARCH($Q18,G$6:G$103)) +  ISNUMBER(SEARCH($P18,G$6:G$103))) &gt; 0),$C$6:$C$103))),$S$30*$P$29*MAX(0,$R18-1*IF(OR(ISNUMBER(SEARCH($O18,G$5)), ISNUMBER(SEARCH($Q18,G$5)), (ISNUMBER(SEARCH("All",G$5)))),$R18,SUMPRODUCT(--((ISNUMBER(SEARCH("All",G$6:G$103)) + ISNUMBER(SEARCH($O18,G$6:G$103)) + ISNUMBER(SEARCH($Q18,G$6:G$103)) +  ISNUMBER(SEARCH($P18,G$6:G$103))) &gt; 0),$C$6:$C$103))))</f>
        <v>6.4</v>
      </c>
      <c r="Y18" s="1">
        <f t="array" ref="Y18">IF($S18,$P$29*MAX(0,$R18-1*IF(OR(ISNUMBER(SEARCH($O18,H$5)), ISNUMBER(SEARCH($Q18,H$5)), (ISNUMBER(SEARCH("All",H$5)))),$R18,SUMPRODUCT(--((ISNUMBER(SEARCH("All",H$6:H$103)) + ISNUMBER(SEARCH($O18,H$6:H$103)) + ISNUMBER(SEARCH($Q18,H$6:H$103)) +  ISNUMBER(SEARCH($P18,H$6:H$103))) &gt; 0),$C$6:$C$103))),$S$30*$P$29*MAX(0,$R18-1*IF(OR(ISNUMBER(SEARCH($O18,H$5)), ISNUMBER(SEARCH($Q18,H$5)), (ISNUMBER(SEARCH("All",H$5)))),$R18,SUMPRODUCT(--((ISNUMBER(SEARCH("All",H$6:H$103)) + ISNUMBER(SEARCH($O18,H$6:H$103)) + ISNUMBER(SEARCH($Q18,H$6:H$103)) +  ISNUMBER(SEARCH($P18,H$6:H$103))) &gt; 0),$C$6:$C$103))))</f>
        <v>6.4</v>
      </c>
      <c r="Z18" s="1">
        <f t="array" ref="Z18">IF($S18,$P$29*MAX(0,$R18-1*IF(OR(ISNUMBER(SEARCH($O18,I$5)), ISNUMBER(SEARCH($Q18,I$5)), (ISNUMBER(SEARCH("All",I$5)))),$R18,SUMPRODUCT(--((ISNUMBER(SEARCH("All",I$6:I$103)) + ISNUMBER(SEARCH($O18,I$6:I$103)) + ISNUMBER(SEARCH($Q18,I$6:I$103)) +  ISNUMBER(SEARCH($P18,I$6:I$103))) &gt; 0),$C$6:$C$103))),$S$30*$P$29*MAX(0,$R18-1*IF(OR(ISNUMBER(SEARCH($O18,I$5)), ISNUMBER(SEARCH($Q18,I$5)), (ISNUMBER(SEARCH("All",I$5)))),$R18,SUMPRODUCT(--((ISNUMBER(SEARCH("All",I$6:I$103)) + ISNUMBER(SEARCH($O18,I$6:I$103)) + ISNUMBER(SEARCH($Q18,I$6:I$103)) +  ISNUMBER(SEARCH($P18,I$6:I$103))) &gt; 0),$C$6:$C$103))))</f>
        <v>6.4</v>
      </c>
      <c r="AA18" s="1">
        <f t="array" ref="AA18">IF($S18,$P$29*MAX(0,$R18-1*IF(OR(ISNUMBER(SEARCH($O18,J$5)), ISNUMBER(SEARCH($Q18,J$5)), (ISNUMBER(SEARCH("All",J$5)))),$R18,SUMPRODUCT(--((ISNUMBER(SEARCH("All",J$6:J$103)) + ISNUMBER(SEARCH($O18,J$6:J$103)) + ISNUMBER(SEARCH($Q18,J$6:J$103)) +  ISNUMBER(SEARCH($P18,J$6:J$103))) &gt; 0),$C$6:$C$103))),$S$30*$P$29*MAX(0,$R18-1*IF(OR(ISNUMBER(SEARCH($O18,J$5)), ISNUMBER(SEARCH($Q18,J$5)), (ISNUMBER(SEARCH("All",J$5)))),$R18,SUMPRODUCT(--((ISNUMBER(SEARCH("All",J$6:J$103)) + ISNUMBER(SEARCH($O18,J$6:J$103)) + ISNUMBER(SEARCH($Q18,J$6:J$103)) +  ISNUMBER(SEARCH($P18,J$6:J$103))) &gt; 0),$C$6:$C$103))))</f>
        <v>6.4</v>
      </c>
      <c r="AB18" s="1">
        <f t="array" ref="AB18">IF($S18,$P$29*MAX(0,$R18-1*IF(OR(ISNUMBER(SEARCH($O18,K$5)), ISNUMBER(SEARCH($Q18,K$5)), (ISNUMBER(SEARCH("All",K$5)))),$R18,SUMPRODUCT(--((ISNUMBER(SEARCH("All",K$6:K$103)) + ISNUMBER(SEARCH($O18,K$6:K$103)) + ISNUMBER(SEARCH($Q18,K$6:K$103)) +  ISNUMBER(SEARCH($P18,K$6:K$103))) &gt; 0),$C$6:$C$103))),$S$30*$P$29*MAX(0,$R18-1*IF(OR(ISNUMBER(SEARCH($O18,K$5)), ISNUMBER(SEARCH($Q18,K$5)), (ISNUMBER(SEARCH("All",K$5)))),$R18,SUMPRODUCT(--((ISNUMBER(SEARCH("All",K$6:K$103)) + ISNUMBER(SEARCH($O18,K$6:K$103)) + ISNUMBER(SEARCH($Q18,K$6:K$103)) +  ISNUMBER(SEARCH($P18,K$6:K$103))) &gt; 0),$C$6:$C$103))))</f>
        <v>6.4</v>
      </c>
      <c r="AC18" s="1">
        <f t="array" ref="AC18">IF($S18,$P$29*MAX(0,$R18-1*IF(OR(ISNUMBER(SEARCH($O18,L$5)), ISNUMBER(SEARCH($Q18,L$5)), (ISNUMBER(SEARCH("All",L$5)))),$R18,SUMPRODUCT(--((ISNUMBER(SEARCH("All",L$6:L$103)) + ISNUMBER(SEARCH($O18,L$6:L$103)) + ISNUMBER(SEARCH($Q18,L$6:L$103)) +  ISNUMBER(SEARCH($P18,L$6:L$103))) &gt; 0),$C$6:$C$103))),$S$30*$P$29*MAX(0,$R18-1*IF(OR(ISNUMBER(SEARCH($O18,L$5)), ISNUMBER(SEARCH($Q18,L$5)), (ISNUMBER(SEARCH("All",L$5)))),$R18,SUMPRODUCT(--((ISNUMBER(SEARCH("All",L$6:L$103)) + ISNUMBER(SEARCH($O18,L$6:L$103)) + ISNUMBER(SEARCH($Q18,L$6:L$103)) +  ISNUMBER(SEARCH($P18,L$6:L$103))) &gt; 0),$C$6:$C$103))))</f>
        <v>6.4</v>
      </c>
      <c r="AD18" s="1">
        <f t="array" ref="AD18">IF($S18,$P$29*MAX(0,$R18-1*IF(OR(ISNUMBER(SEARCH($O18,M$5)), ISNUMBER(SEARCH($Q18,M$5)), (ISNUMBER(SEARCH("All",M$5)))),$R18,SUMPRODUCT(--((ISNUMBER(SEARCH("All",M$6:M$103)) + ISNUMBER(SEARCH($O18,M$6:M$103)) + ISNUMBER(SEARCH($Q18,M$6:M$103)) +  ISNUMBER(SEARCH($P18,M$6:M$103))) &gt; 0),$C$6:$C$103))),$S$30*$P$29*MAX(0,$R18-1*IF(OR(ISNUMBER(SEARCH($O18,M$5)), ISNUMBER(SEARCH($Q18,M$5)), (ISNUMBER(SEARCH("All",M$5)))),$R18,SUMPRODUCT(--((ISNUMBER(SEARCH("All",M$6:M$103)) + ISNUMBER(SEARCH($O18,M$6:M$103)) + ISNUMBER(SEARCH($Q18,M$6:M$103)) +  ISNUMBER(SEARCH($P18,M$6:M$103))) &gt; 0),$C$6:$C$103))))</f>
        <v>6.4</v>
      </c>
      <c r="AE18" s="6"/>
      <c r="AF18" s="6">
        <f t="shared" si="6"/>
        <v>64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U18" s="6"/>
      <c r="BV18" s="6"/>
    </row>
    <row r="19">
      <c r="A19" s="7"/>
      <c r="B19" s="40"/>
      <c r="C19" s="6"/>
      <c r="D19" s="6"/>
      <c r="E19" s="6"/>
      <c r="F19" s="6"/>
      <c r="G19" s="6"/>
      <c r="H19" s="6"/>
      <c r="I19" s="6"/>
      <c r="J19" s="6"/>
      <c r="K19" s="6"/>
      <c r="L19" s="6"/>
      <c r="M19" s="42"/>
      <c r="N19" s="6"/>
      <c r="P19" s="1" t="s">
        <v>56</v>
      </c>
      <c r="Q19" s="1" t="s">
        <v>59</v>
      </c>
      <c r="R19" s="1">
        <v>8.0</v>
      </c>
      <c r="S19" s="26" t="b">
        <v>1</v>
      </c>
      <c r="T19" s="27">
        <f t="shared" si="5"/>
        <v>6.4</v>
      </c>
      <c r="U19" s="1">
        <f t="array" ref="U19">IF($S19,$P$29*MAX(0,$R19-1*IF(OR(ISNUMBER(SEARCH($O19,D$5)), ISNUMBER(SEARCH($Q19,D$5)), (ISNUMBER(SEARCH("All",D$5)))),$R19,SUMPRODUCT(--((ISNUMBER(SEARCH("All",D$6:D$103)) + ISNUMBER(SEARCH($O19,D$6:D$103)) + ISNUMBER(SEARCH($Q19,D$6:D$103)) +  ISNUMBER(SEARCH($P19,D$6:D$103))) &gt; 0),$C$6:$C$103))),$S$30*$P$29*MAX(0,$R19-1*IF(OR(ISNUMBER(SEARCH($O19,D$5)), ISNUMBER(SEARCH($Q19,D$5)), (ISNUMBER(SEARCH("All",D$5)))),$R19,SUMPRODUCT(--((ISNUMBER(SEARCH("All",D$6:D$103)) + ISNUMBER(SEARCH($O19,D$6:D$103)) + ISNUMBER(SEARCH($Q19,D$6:D$103)) +  ISNUMBER(SEARCH($P19,D$6:D$103))) &gt; 0),$C$6:$C$103))))</f>
        <v>6.4</v>
      </c>
      <c r="V19" s="1">
        <f t="array" ref="V19">IF($S19,$P$29*MAX(0,$R19-1*IF(OR(ISNUMBER(SEARCH($O19,E$5)), ISNUMBER(SEARCH($Q19,E$5)), (ISNUMBER(SEARCH("All",E$5)))),$R19,SUMPRODUCT(--((ISNUMBER(SEARCH("All",E$6:E$103)) + ISNUMBER(SEARCH($O19,E$6:E$103)) + ISNUMBER(SEARCH($Q19,E$6:E$103)) +  ISNUMBER(SEARCH($P19,E$6:E$103))) &gt; 0),$C$6:$C$103))),$S$30*$P$29*MAX(0,$R19-1*IF(OR(ISNUMBER(SEARCH($O19,E$5)), ISNUMBER(SEARCH($Q19,E$5)), (ISNUMBER(SEARCH("All",E$5)))),$R19,SUMPRODUCT(--((ISNUMBER(SEARCH("All",E$6:E$103)) + ISNUMBER(SEARCH($O19,E$6:E$103)) + ISNUMBER(SEARCH($Q19,E$6:E$103)) +  ISNUMBER(SEARCH($P19,E$6:E$103))) &gt; 0),$C$6:$C$103))))</f>
        <v>6.4</v>
      </c>
      <c r="W19" s="1">
        <f t="array" ref="W19">IF($S19,$P$29*MAX(0,$R19-1*IF(OR(ISNUMBER(SEARCH($O19,F$5)), ISNUMBER(SEARCH($Q19,F$5)), (ISNUMBER(SEARCH("All",F$5)))),$R19,SUMPRODUCT(--((ISNUMBER(SEARCH("All",F$6:F$103)) + ISNUMBER(SEARCH($O19,F$6:F$103)) + ISNUMBER(SEARCH($Q19,F$6:F$103)) +  ISNUMBER(SEARCH($P19,F$6:F$103))) &gt; 0),$C$6:$C$103))),$S$30*$P$29*MAX(0,$R19-1*IF(OR(ISNUMBER(SEARCH($O19,F$5)), ISNUMBER(SEARCH($Q19,F$5)), (ISNUMBER(SEARCH("All",F$5)))),$R19,SUMPRODUCT(--((ISNUMBER(SEARCH("All",F$6:F$103)) + ISNUMBER(SEARCH($O19,F$6:F$103)) + ISNUMBER(SEARCH($Q19,F$6:F$103)) +  ISNUMBER(SEARCH($P19,F$6:F$103))) &gt; 0),$C$6:$C$103))))</f>
        <v>6.4</v>
      </c>
      <c r="X19" s="1">
        <f t="array" ref="X19">IF($S19,$P$29*MAX(0,$R19-1*IF(OR(ISNUMBER(SEARCH($O19,G$5)), ISNUMBER(SEARCH($Q19,G$5)), (ISNUMBER(SEARCH("All",G$5)))),$R19,SUMPRODUCT(--((ISNUMBER(SEARCH("All",G$6:G$103)) + ISNUMBER(SEARCH($O19,G$6:G$103)) + ISNUMBER(SEARCH($Q19,G$6:G$103)) +  ISNUMBER(SEARCH($P19,G$6:G$103))) &gt; 0),$C$6:$C$103))),$S$30*$P$29*MAX(0,$R19-1*IF(OR(ISNUMBER(SEARCH($O19,G$5)), ISNUMBER(SEARCH($Q19,G$5)), (ISNUMBER(SEARCH("All",G$5)))),$R19,SUMPRODUCT(--((ISNUMBER(SEARCH("All",G$6:G$103)) + ISNUMBER(SEARCH($O19,G$6:G$103)) + ISNUMBER(SEARCH($Q19,G$6:G$103)) +  ISNUMBER(SEARCH($P19,G$6:G$103))) &gt; 0),$C$6:$C$103))))</f>
        <v>6.4</v>
      </c>
      <c r="Y19" s="1">
        <f t="array" ref="Y19">IF($S19,$P$29*MAX(0,$R19-1*IF(OR(ISNUMBER(SEARCH($O19,H$5)), ISNUMBER(SEARCH($Q19,H$5)), (ISNUMBER(SEARCH("All",H$5)))),$R19,SUMPRODUCT(--((ISNUMBER(SEARCH("All",H$6:H$103)) + ISNUMBER(SEARCH($O19,H$6:H$103)) + ISNUMBER(SEARCH($Q19,H$6:H$103)) +  ISNUMBER(SEARCH($P19,H$6:H$103))) &gt; 0),$C$6:$C$103))),$S$30*$P$29*MAX(0,$R19-1*IF(OR(ISNUMBER(SEARCH($O19,H$5)), ISNUMBER(SEARCH($Q19,H$5)), (ISNUMBER(SEARCH("All",H$5)))),$R19,SUMPRODUCT(--((ISNUMBER(SEARCH("All",H$6:H$103)) + ISNUMBER(SEARCH($O19,H$6:H$103)) + ISNUMBER(SEARCH($Q19,H$6:H$103)) +  ISNUMBER(SEARCH($P19,H$6:H$103))) &gt; 0),$C$6:$C$103))))</f>
        <v>6.4</v>
      </c>
      <c r="Z19" s="1">
        <f t="array" ref="Z19">IF($S19,$P$29*MAX(0,$R19-1*IF(OR(ISNUMBER(SEARCH($O19,I$5)), ISNUMBER(SEARCH($Q19,I$5)), (ISNUMBER(SEARCH("All",I$5)))),$R19,SUMPRODUCT(--((ISNUMBER(SEARCH("All",I$6:I$103)) + ISNUMBER(SEARCH($O19,I$6:I$103)) + ISNUMBER(SEARCH($Q19,I$6:I$103)) +  ISNUMBER(SEARCH($P19,I$6:I$103))) &gt; 0),$C$6:$C$103))),$S$30*$P$29*MAX(0,$R19-1*IF(OR(ISNUMBER(SEARCH($O19,I$5)), ISNUMBER(SEARCH($Q19,I$5)), (ISNUMBER(SEARCH("All",I$5)))),$R19,SUMPRODUCT(--((ISNUMBER(SEARCH("All",I$6:I$103)) + ISNUMBER(SEARCH($O19,I$6:I$103)) + ISNUMBER(SEARCH($Q19,I$6:I$103)) +  ISNUMBER(SEARCH($P19,I$6:I$103))) &gt; 0),$C$6:$C$103))))</f>
        <v>6.4</v>
      </c>
      <c r="AA19" s="1">
        <f t="array" ref="AA19">IF($S19,$P$29*MAX(0,$R19-1*IF(OR(ISNUMBER(SEARCH($O19,J$5)), ISNUMBER(SEARCH($Q19,J$5)), (ISNUMBER(SEARCH("All",J$5)))),$R19,SUMPRODUCT(--((ISNUMBER(SEARCH("All",J$6:J$103)) + ISNUMBER(SEARCH($O19,J$6:J$103)) + ISNUMBER(SEARCH($Q19,J$6:J$103)) +  ISNUMBER(SEARCH($P19,J$6:J$103))) &gt; 0),$C$6:$C$103))),$S$30*$P$29*MAX(0,$R19-1*IF(OR(ISNUMBER(SEARCH($O19,J$5)), ISNUMBER(SEARCH($Q19,J$5)), (ISNUMBER(SEARCH("All",J$5)))),$R19,SUMPRODUCT(--((ISNUMBER(SEARCH("All",J$6:J$103)) + ISNUMBER(SEARCH($O19,J$6:J$103)) + ISNUMBER(SEARCH($Q19,J$6:J$103)) +  ISNUMBER(SEARCH($P19,J$6:J$103))) &gt; 0),$C$6:$C$103))))</f>
        <v>6.4</v>
      </c>
      <c r="AB19" s="1">
        <f t="array" ref="AB19">IF($S19,$P$29*MAX(0,$R19-1*IF(OR(ISNUMBER(SEARCH($O19,K$5)), ISNUMBER(SEARCH($Q19,K$5)), (ISNUMBER(SEARCH("All",K$5)))),$R19,SUMPRODUCT(--((ISNUMBER(SEARCH("All",K$6:K$103)) + ISNUMBER(SEARCH($O19,K$6:K$103)) + ISNUMBER(SEARCH($Q19,K$6:K$103)) +  ISNUMBER(SEARCH($P19,K$6:K$103))) &gt; 0),$C$6:$C$103))),$S$30*$P$29*MAX(0,$R19-1*IF(OR(ISNUMBER(SEARCH($O19,K$5)), ISNUMBER(SEARCH($Q19,K$5)), (ISNUMBER(SEARCH("All",K$5)))),$R19,SUMPRODUCT(--((ISNUMBER(SEARCH("All",K$6:K$103)) + ISNUMBER(SEARCH($O19,K$6:K$103)) + ISNUMBER(SEARCH($Q19,K$6:K$103)) +  ISNUMBER(SEARCH($P19,K$6:K$103))) &gt; 0),$C$6:$C$103))))</f>
        <v>6.4</v>
      </c>
      <c r="AC19" s="1">
        <f t="array" ref="AC19">IF($S19,$P$29*MAX(0,$R19-1*IF(OR(ISNUMBER(SEARCH($O19,L$5)), ISNUMBER(SEARCH($Q19,L$5)), (ISNUMBER(SEARCH("All",L$5)))),$R19,SUMPRODUCT(--((ISNUMBER(SEARCH("All",L$6:L$103)) + ISNUMBER(SEARCH($O19,L$6:L$103)) + ISNUMBER(SEARCH($Q19,L$6:L$103)) +  ISNUMBER(SEARCH($P19,L$6:L$103))) &gt; 0),$C$6:$C$103))),$S$30*$P$29*MAX(0,$R19-1*IF(OR(ISNUMBER(SEARCH($O19,L$5)), ISNUMBER(SEARCH($Q19,L$5)), (ISNUMBER(SEARCH("All",L$5)))),$R19,SUMPRODUCT(--((ISNUMBER(SEARCH("All",L$6:L$103)) + ISNUMBER(SEARCH($O19,L$6:L$103)) + ISNUMBER(SEARCH($Q19,L$6:L$103)) +  ISNUMBER(SEARCH($P19,L$6:L$103))) &gt; 0),$C$6:$C$103))))</f>
        <v>6.4</v>
      </c>
      <c r="AD19" s="1">
        <f t="array" ref="AD19">IF($S19,$P$29*MAX(0,$R19-1*IF(OR(ISNUMBER(SEARCH($O19,M$5)), ISNUMBER(SEARCH($Q19,M$5)), (ISNUMBER(SEARCH("All",M$5)))),$R19,SUMPRODUCT(--((ISNUMBER(SEARCH("All",M$6:M$103)) + ISNUMBER(SEARCH($O19,M$6:M$103)) + ISNUMBER(SEARCH($Q19,M$6:M$103)) +  ISNUMBER(SEARCH($P19,M$6:M$103))) &gt; 0),$C$6:$C$103))),$S$30*$P$29*MAX(0,$R19-1*IF(OR(ISNUMBER(SEARCH($O19,M$5)), ISNUMBER(SEARCH($Q19,M$5)), (ISNUMBER(SEARCH("All",M$5)))),$R19,SUMPRODUCT(--((ISNUMBER(SEARCH("All",M$6:M$103)) + ISNUMBER(SEARCH($O19,M$6:M$103)) + ISNUMBER(SEARCH($Q19,M$6:M$103)) +  ISNUMBER(SEARCH($P19,M$6:M$103))) &gt; 0),$C$6:$C$103))))</f>
        <v>6.4</v>
      </c>
      <c r="AE19" s="6"/>
      <c r="AF19" s="6">
        <f t="shared" si="6"/>
        <v>64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U19" s="6"/>
      <c r="BV19" s="6"/>
    </row>
    <row r="20">
      <c r="A20" s="7"/>
      <c r="B20" s="45"/>
      <c r="C20" s="46"/>
      <c r="D20" s="6"/>
      <c r="E20" s="6"/>
      <c r="F20" s="6"/>
      <c r="G20" s="6"/>
      <c r="H20" s="6"/>
      <c r="I20" s="6"/>
      <c r="J20" s="6"/>
      <c r="K20" s="6"/>
      <c r="L20" s="6"/>
      <c r="M20" s="42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25">
        <f>SUM(AF5:AF19)</f>
        <v>952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 ht="15.75" customHeight="1">
      <c r="A21" s="7"/>
      <c r="B21" s="40"/>
      <c r="C21" s="6"/>
      <c r="D21" s="6"/>
      <c r="E21" s="6"/>
      <c r="F21" s="6"/>
      <c r="G21" s="6"/>
      <c r="H21" s="6"/>
      <c r="I21" s="6"/>
      <c r="J21" s="6"/>
      <c r="K21" s="6"/>
      <c r="L21" s="6"/>
      <c r="M21" s="4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U21" s="6"/>
      <c r="BV21" s="6"/>
    </row>
    <row r="22" ht="15.75" customHeight="1">
      <c r="A22" s="6"/>
      <c r="B22" s="40"/>
      <c r="C22" s="6"/>
      <c r="D22" s="6"/>
      <c r="E22" s="6"/>
      <c r="F22" s="6"/>
      <c r="G22" s="6"/>
      <c r="H22" s="6"/>
      <c r="I22" s="6"/>
      <c r="J22" s="6"/>
      <c r="K22" s="6"/>
      <c r="L22" s="6"/>
      <c r="M22" s="42"/>
      <c r="N22" s="6"/>
      <c r="O22" s="7" t="s">
        <v>88</v>
      </c>
      <c r="P22" s="6"/>
      <c r="Q22" s="6"/>
      <c r="R22" s="6"/>
      <c r="S22" s="6"/>
      <c r="T22" s="6"/>
      <c r="U22" s="6">
        <f t="shared" ref="U22:AD22" si="21">SUMIF($P$5:$P$19,"Dev",U5:U19)</f>
        <v>37.6</v>
      </c>
      <c r="V22" s="6">
        <f t="shared" si="21"/>
        <v>37.6</v>
      </c>
      <c r="W22" s="6">
        <f t="shared" si="21"/>
        <v>37.6</v>
      </c>
      <c r="X22" s="6">
        <f t="shared" si="21"/>
        <v>37.6</v>
      </c>
      <c r="Y22" s="6">
        <f t="shared" si="21"/>
        <v>37.6</v>
      </c>
      <c r="Z22" s="6">
        <f t="shared" si="21"/>
        <v>37.6</v>
      </c>
      <c r="AA22" s="6">
        <f t="shared" si="21"/>
        <v>37.6</v>
      </c>
      <c r="AB22" s="6">
        <f t="shared" si="21"/>
        <v>37.6</v>
      </c>
      <c r="AC22" s="6">
        <f t="shared" si="21"/>
        <v>37.6</v>
      </c>
      <c r="AD22" s="6">
        <f t="shared" si="21"/>
        <v>37.6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U22" s="6"/>
      <c r="BV22" s="6"/>
    </row>
    <row r="23" ht="51.0" customHeight="1">
      <c r="A23" s="6"/>
      <c r="B23" s="40"/>
      <c r="C23" s="6"/>
      <c r="D23" s="6"/>
      <c r="E23" s="6"/>
      <c r="F23" s="6"/>
      <c r="G23" s="6"/>
      <c r="H23" s="6"/>
      <c r="I23" s="6"/>
      <c r="J23" s="6"/>
      <c r="K23" s="6"/>
      <c r="L23" s="6"/>
      <c r="M23" s="42"/>
      <c r="N23" s="6"/>
      <c r="O23" s="7" t="s">
        <v>89</v>
      </c>
      <c r="P23" s="6"/>
      <c r="Q23" s="6"/>
      <c r="R23" s="6"/>
      <c r="S23" s="6"/>
      <c r="T23" s="6"/>
      <c r="U23" s="6">
        <f t="shared" ref="U23:AD23" si="22">SUMIF($P$5:$P$19,"Test",U5:U19)</f>
        <v>57.6</v>
      </c>
      <c r="V23" s="6">
        <f t="shared" si="22"/>
        <v>57.6</v>
      </c>
      <c r="W23" s="6">
        <f t="shared" si="22"/>
        <v>57.6</v>
      </c>
      <c r="X23" s="6">
        <f t="shared" si="22"/>
        <v>57.6</v>
      </c>
      <c r="Y23" s="6">
        <f t="shared" si="22"/>
        <v>57.6</v>
      </c>
      <c r="Z23" s="6">
        <f t="shared" si="22"/>
        <v>57.6</v>
      </c>
      <c r="AA23" s="6">
        <f t="shared" si="22"/>
        <v>57.6</v>
      </c>
      <c r="AB23" s="6">
        <f t="shared" si="22"/>
        <v>57.6</v>
      </c>
      <c r="AC23" s="6">
        <f t="shared" si="22"/>
        <v>57.6</v>
      </c>
      <c r="AD23" s="6">
        <f t="shared" si="22"/>
        <v>57.6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U23" s="6"/>
      <c r="BV23" s="6"/>
    </row>
    <row r="24" ht="48.75" customHeight="1">
      <c r="A24" s="6"/>
      <c r="B24" s="48"/>
      <c r="C24" s="49"/>
      <c r="D24" s="49"/>
      <c r="E24" s="50"/>
      <c r="F24" s="50"/>
      <c r="G24" s="49"/>
      <c r="H24" s="49"/>
      <c r="I24" s="49"/>
      <c r="J24" s="49"/>
      <c r="K24" s="49"/>
      <c r="L24" s="49"/>
      <c r="M24" s="51"/>
      <c r="N24" s="6"/>
      <c r="O24" s="7" t="s">
        <v>61</v>
      </c>
      <c r="P24" s="6"/>
      <c r="Q24" s="6"/>
      <c r="R24" s="6"/>
      <c r="S24" s="6"/>
      <c r="T24" s="6"/>
      <c r="U24" s="6">
        <f t="shared" ref="U24:AD24" si="23">SUM(U5:U19)</f>
        <v>95.2</v>
      </c>
      <c r="V24" s="6">
        <f t="shared" si="23"/>
        <v>95.2</v>
      </c>
      <c r="W24" s="6">
        <f t="shared" si="23"/>
        <v>95.2</v>
      </c>
      <c r="X24" s="6">
        <f t="shared" si="23"/>
        <v>95.2</v>
      </c>
      <c r="Y24" s="6">
        <f t="shared" si="23"/>
        <v>95.2</v>
      </c>
      <c r="Z24" s="6">
        <f t="shared" si="23"/>
        <v>95.2</v>
      </c>
      <c r="AA24" s="6">
        <f t="shared" si="23"/>
        <v>95.2</v>
      </c>
      <c r="AB24" s="6">
        <f t="shared" si="23"/>
        <v>95.2</v>
      </c>
      <c r="AC24" s="6">
        <f t="shared" si="23"/>
        <v>95.2</v>
      </c>
      <c r="AD24" s="6">
        <f t="shared" si="23"/>
        <v>95.2</v>
      </c>
      <c r="AE24" s="6"/>
      <c r="AF24" s="25">
        <f>SUM(U24:AD24)</f>
        <v>952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U24" s="6"/>
      <c r="BV24" s="6"/>
    </row>
    <row r="25" ht="15.75" customHeight="1">
      <c r="A25" s="6"/>
      <c r="B25" s="7" t="s">
        <v>63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 t="s">
        <v>90</v>
      </c>
      <c r="P25" s="6"/>
      <c r="Q25" s="6"/>
      <c r="R25" s="6"/>
      <c r="S25" s="6"/>
      <c r="T25" s="6"/>
      <c r="U25" s="47">
        <f t="shared" ref="U25:AD25" si="24">(U22/SUM($U$22:$AD$22)*0.72)</f>
        <v>0.072</v>
      </c>
      <c r="V25" s="47">
        <f t="shared" si="24"/>
        <v>0.072</v>
      </c>
      <c r="W25" s="47">
        <f t="shared" si="24"/>
        <v>0.072</v>
      </c>
      <c r="X25" s="47">
        <f t="shared" si="24"/>
        <v>0.072</v>
      </c>
      <c r="Y25" s="47">
        <f t="shared" si="24"/>
        <v>0.072</v>
      </c>
      <c r="Z25" s="47">
        <f t="shared" si="24"/>
        <v>0.072</v>
      </c>
      <c r="AA25" s="47">
        <f t="shared" si="24"/>
        <v>0.072</v>
      </c>
      <c r="AB25" s="47">
        <f t="shared" si="24"/>
        <v>0.072</v>
      </c>
      <c r="AC25" s="47">
        <f t="shared" si="24"/>
        <v>0.072</v>
      </c>
      <c r="AD25" s="47">
        <f t="shared" si="24"/>
        <v>0.072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U25" s="6"/>
      <c r="B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 t="s">
        <v>91</v>
      </c>
      <c r="P26" s="6"/>
      <c r="Q26" s="6"/>
      <c r="R26" s="6"/>
      <c r="S26" s="6"/>
      <c r="T26" s="6"/>
      <c r="U26" s="47">
        <f t="shared" ref="U26:AD26" si="25">(U23/SUM($U$23:$AD$23)*0.72)</f>
        <v>0.072</v>
      </c>
      <c r="V26" s="47">
        <f t="shared" si="25"/>
        <v>0.072</v>
      </c>
      <c r="W26" s="47">
        <f t="shared" si="25"/>
        <v>0.072</v>
      </c>
      <c r="X26" s="47">
        <f t="shared" si="25"/>
        <v>0.072</v>
      </c>
      <c r="Y26" s="47">
        <f t="shared" si="25"/>
        <v>0.072</v>
      </c>
      <c r="Z26" s="47">
        <f t="shared" si="25"/>
        <v>0.072</v>
      </c>
      <c r="AA26" s="47">
        <f t="shared" si="25"/>
        <v>0.072</v>
      </c>
      <c r="AB26" s="47">
        <f t="shared" si="25"/>
        <v>0.072</v>
      </c>
      <c r="AC26" s="47">
        <f t="shared" si="25"/>
        <v>0.072</v>
      </c>
      <c r="AD26" s="47">
        <f t="shared" si="25"/>
        <v>0.072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 t="s">
        <v>62</v>
      </c>
      <c r="P27" s="6"/>
      <c r="Q27" s="6"/>
      <c r="R27" s="6"/>
      <c r="S27" s="6"/>
      <c r="T27" s="6"/>
      <c r="U27" s="47">
        <f t="shared" ref="U27:AD27" si="26">(U24/$AF$24)*0.72</f>
        <v>0.072</v>
      </c>
      <c r="V27" s="47">
        <f t="shared" si="26"/>
        <v>0.072</v>
      </c>
      <c r="W27" s="47">
        <f t="shared" si="26"/>
        <v>0.072</v>
      </c>
      <c r="X27" s="47">
        <f t="shared" si="26"/>
        <v>0.072</v>
      </c>
      <c r="Y27" s="47">
        <f t="shared" si="26"/>
        <v>0.072</v>
      </c>
      <c r="Z27" s="47">
        <f t="shared" si="26"/>
        <v>0.072</v>
      </c>
      <c r="AA27" s="47">
        <f t="shared" si="26"/>
        <v>0.072</v>
      </c>
      <c r="AB27" s="47">
        <f t="shared" si="26"/>
        <v>0.072</v>
      </c>
      <c r="AC27" s="47">
        <f t="shared" si="26"/>
        <v>0.072</v>
      </c>
      <c r="AD27" s="47">
        <f t="shared" si="26"/>
        <v>0.072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 t="s">
        <v>4</v>
      </c>
      <c r="P29" s="52">
        <v>0.8</v>
      </c>
      <c r="Q29" s="52"/>
      <c r="R29" s="6"/>
      <c r="S29" s="6" t="s">
        <v>64</v>
      </c>
      <c r="T29" s="6"/>
      <c r="U29" s="6" t="s">
        <v>65</v>
      </c>
      <c r="V29" s="25">
        <f>AF24</f>
        <v>952</v>
      </c>
      <c r="W29" s="6"/>
      <c r="X29" s="6" t="s">
        <v>66</v>
      </c>
      <c r="Y29" s="25">
        <f>SUMIF($P$5:$P$19,"Dev",$AF$5:$AF$19)+SUMIF($P$5:$P$19,"Plex",$AF$5:$AF$19)</f>
        <v>376</v>
      </c>
      <c r="Z29" s="6"/>
      <c r="AA29" s="6" t="s">
        <v>67</v>
      </c>
      <c r="AB29" s="25">
        <f>SUMIF($P$5:$P$19,"Test",$AF$5:$AF$19)</f>
        <v>576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 ht="15.75" customHeight="1">
      <c r="A30" s="6"/>
      <c r="B30" s="53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69</v>
      </c>
      <c r="P30" s="6">
        <f>FLOOR((V29/40),1)</f>
        <v>23</v>
      </c>
      <c r="Q30" s="6"/>
      <c r="R30" s="6"/>
      <c r="S30" s="52">
        <v>0.5</v>
      </c>
      <c r="T30" s="6"/>
      <c r="U30" s="6"/>
      <c r="V30" s="6"/>
      <c r="W30" s="6"/>
      <c r="X30" s="6" t="s">
        <v>25</v>
      </c>
      <c r="Y30" s="6">
        <f>FLOOR((Y29/40),1)</f>
        <v>9</v>
      </c>
      <c r="Z30" s="6"/>
      <c r="AA30" s="6" t="s">
        <v>25</v>
      </c>
      <c r="AB30" s="6">
        <f>FLOOR((AB29/40),1)</f>
        <v>14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 ht="127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 t="s">
        <v>26</v>
      </c>
      <c r="P31" s="6">
        <f>FLOOR((V29-(P30*40))/8,1)</f>
        <v>4</v>
      </c>
      <c r="Q31" s="6"/>
      <c r="R31" s="6"/>
      <c r="S31" s="6"/>
      <c r="T31" s="6"/>
      <c r="U31" s="6"/>
      <c r="V31" s="6"/>
      <c r="W31" s="6"/>
      <c r="X31" s="6" t="s">
        <v>26</v>
      </c>
      <c r="Y31" s="6">
        <f>FLOOR((Y29-(Y30*40))/8,1)</f>
        <v>2</v>
      </c>
      <c r="Z31" s="6"/>
      <c r="AA31" s="6" t="s">
        <v>26</v>
      </c>
      <c r="AB31" s="6">
        <f>FLOOR((AB29-(AB30*40))/8,1)</f>
        <v>1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 ht="15.75" customHeight="1">
      <c r="A32" s="6"/>
      <c r="B32" s="53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 t="s">
        <v>27</v>
      </c>
      <c r="P32" s="6">
        <f>V29-(P30*40)-(P31*8)</f>
        <v>0</v>
      </c>
      <c r="Q32" s="6"/>
      <c r="R32" s="6"/>
      <c r="S32" s="6"/>
      <c r="T32" s="6"/>
      <c r="U32" s="6"/>
      <c r="V32" s="6"/>
      <c r="W32" s="6"/>
      <c r="X32" s="6" t="s">
        <v>27</v>
      </c>
      <c r="Y32" s="6">
        <f>Y29-(Y30*40)-(Y31*8)</f>
        <v>0</v>
      </c>
      <c r="Z32" s="6"/>
      <c r="AA32" s="6" t="s">
        <v>27</v>
      </c>
      <c r="AB32" s="6">
        <f>AB29-(AB30*40)-(AB31*8)</f>
        <v>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 ht="32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  <c r="P44" s="7"/>
      <c r="Q44" s="7"/>
      <c r="R44" s="7"/>
      <c r="S44" s="7"/>
      <c r="T44" s="7"/>
      <c r="U44" s="7"/>
      <c r="V44" s="7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7"/>
      <c r="Q45" s="7"/>
      <c r="R45" s="7"/>
      <c r="S45" s="7"/>
      <c r="T45" s="7"/>
      <c r="U45" s="7"/>
      <c r="V45" s="7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 ht="33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 ht="15.75" customHeight="1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4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54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54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54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55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54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</row>
  </sheetData>
  <mergeCells count="4">
    <mergeCell ref="AL1:AM1"/>
    <mergeCell ref="BI1:BI3"/>
    <mergeCell ref="AL2:AM2"/>
    <mergeCell ref="AL3:AM3"/>
  </mergeCells>
  <conditionalFormatting sqref="U5:AD19">
    <cfRule type="cellIs" dxfId="0" priority="1" operator="equal">
      <formula>0</formula>
    </cfRule>
  </conditionalFormatting>
  <conditionalFormatting sqref="AP5:AP14 AR5:AR14 AT5:AT14">
    <cfRule type="expression" dxfId="1" priority="2" stopIfTrue="1">
      <formula>AP5=""</formula>
    </cfRule>
  </conditionalFormatting>
  <conditionalFormatting sqref="AP5:AP14 AR5:AR14 AT5:AT14">
    <cfRule type="expression" dxfId="2" priority="3" stopIfTrue="1">
      <formula>AP5&lt;AQ5</formula>
    </cfRule>
  </conditionalFormatting>
  <conditionalFormatting sqref="AP5:AP14 AR5:AR14 AT5:AT14">
    <cfRule type="expression" dxfId="3" priority="4" stopIfTrue="1">
      <formula>AP5&gt;=AQ5</formula>
    </cfRule>
  </conditionalFormatting>
  <conditionalFormatting sqref="AV5:AV14">
    <cfRule type="expression" dxfId="1" priority="5" stopIfTrue="1">
      <formula>AV5=""</formula>
    </cfRule>
  </conditionalFormatting>
  <conditionalFormatting sqref="AV5:AV14">
    <cfRule type="expression" dxfId="3" priority="6" stopIfTrue="1">
      <formula>AV5&gt;=AW5</formula>
    </cfRule>
  </conditionalFormatting>
  <conditionalFormatting sqref="AV5:AV14">
    <cfRule type="expression" dxfId="2" priority="7" stopIfTrue="1">
      <formula>AV5&lt;AW5</formula>
    </cfRule>
  </conditionalFormatting>
  <conditionalFormatting sqref="AX5:AX14">
    <cfRule type="expression" dxfId="1" priority="8" stopIfTrue="1">
      <formula>AX5=""</formula>
    </cfRule>
  </conditionalFormatting>
  <conditionalFormatting sqref="AX5:AX14">
    <cfRule type="expression" dxfId="2" priority="9" stopIfTrue="1">
      <formula>AX5&lt;AY5</formula>
    </cfRule>
  </conditionalFormatting>
  <conditionalFormatting sqref="AX5:AX14">
    <cfRule type="expression" dxfId="3" priority="10" stopIfTrue="1">
      <formula>AX5&gt;=AY5</formula>
    </cfRule>
  </conditionalFormatting>
  <conditionalFormatting sqref="AZ5:AZ14">
    <cfRule type="expression" dxfId="1" priority="11" stopIfTrue="1">
      <formula>AZ5=""</formula>
    </cfRule>
  </conditionalFormatting>
  <conditionalFormatting sqref="AZ5:AZ14">
    <cfRule type="expression" dxfId="2" priority="12" stopIfTrue="1">
      <formula>AZ5&lt;BA5</formula>
    </cfRule>
  </conditionalFormatting>
  <conditionalFormatting sqref="AZ5:AZ14">
    <cfRule type="expression" dxfId="3" priority="13" stopIfTrue="1">
      <formula>AZ5&gt;=BA5</formula>
    </cfRule>
  </conditionalFormatting>
  <conditionalFormatting sqref="BB5:BB14">
    <cfRule type="expression" dxfId="1" priority="14" stopIfTrue="1">
      <formula>BB5=""</formula>
    </cfRule>
  </conditionalFormatting>
  <conditionalFormatting sqref="BB5:BB14">
    <cfRule type="expression" dxfId="2" priority="15" stopIfTrue="1">
      <formula>BB5&lt;BC5</formula>
    </cfRule>
  </conditionalFormatting>
  <conditionalFormatting sqref="BB5:BB14">
    <cfRule type="expression" dxfId="3" priority="16" stopIfTrue="1">
      <formula>BB5&gt;=BC5</formula>
    </cfRule>
  </conditionalFormatting>
  <printOptions/>
  <pageMargins bottom="0.75" footer="0.0" header="0.0" left="0.7" right="0.7" top="0.75"/>
  <pageSetup orientation="portrait"/>
  <headerFooter>
    <oddFooter>&amp;C#D89B2BConfidential - Company Proprietary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0x010100704E51302D5A53438B9810EE4F187E08</vt:lpwstr>
  </property>
  <property fmtid="{D5CDD505-2E9C-101B-9397-08002B2CF9AE}" pid="3" name="WorkbookGuid">
    <vt:lpwstr>c18947b5-5d40-4031-9499-9033b9e40af0</vt:lpwstr>
  </property>
  <property fmtid="{D5CDD505-2E9C-101B-9397-08002B2CF9AE}" pid="4" name="MediaServiceImageTags">
    <vt:lpwstr/>
  </property>
  <property fmtid="{D5CDD505-2E9C-101B-9397-08002B2CF9AE}" pid="5" name="MSIP_Label_f48041ff-f5de-4583-8841-e2a1851ee5d2_Enabled">
    <vt:lpwstr>true</vt:lpwstr>
  </property>
  <property fmtid="{D5CDD505-2E9C-101B-9397-08002B2CF9AE}" pid="6" name="MSIP_Label_f48041ff-f5de-4583-8841-e2a1851ee5d2_SetDate">
    <vt:lpwstr>2023-05-12T13:58:06Z</vt:lpwstr>
  </property>
  <property fmtid="{D5CDD505-2E9C-101B-9397-08002B2CF9AE}" pid="7" name="MSIP_Label_f48041ff-f5de-4583-8841-e2a1851ee5d2_Method">
    <vt:lpwstr>Privileged</vt:lpwstr>
  </property>
  <property fmtid="{D5CDD505-2E9C-101B-9397-08002B2CF9AE}" pid="8" name="MSIP_Label_f48041ff-f5de-4583-8841-e2a1851ee5d2_Name">
    <vt:lpwstr>Confidential</vt:lpwstr>
  </property>
  <property fmtid="{D5CDD505-2E9C-101B-9397-08002B2CF9AE}" pid="9" name="MSIP_Label_f48041ff-f5de-4583-8841-e2a1851ee5d2_SiteId">
    <vt:lpwstr>771c9c47-7f24-44dc-958e-34f8713a8394</vt:lpwstr>
  </property>
  <property fmtid="{D5CDD505-2E9C-101B-9397-08002B2CF9AE}" pid="10" name="MSIP_Label_f48041ff-f5de-4583-8841-e2a1851ee5d2_ActionId">
    <vt:lpwstr>c0177290-ef40-4508-b081-a174c7e99f02</vt:lpwstr>
  </property>
  <property fmtid="{D5CDD505-2E9C-101B-9397-08002B2CF9AE}" pid="11" name="MSIP_Label_f48041ff-f5de-4583-8841-e2a1851ee5d2_ContentBits">
    <vt:lpwstr>2</vt:lpwstr>
  </property>
</Properties>
</file>