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rozo/Desktop/Scrum Master Tool/excelcharts/"/>
    </mc:Choice>
  </mc:AlternateContent>
  <xr:revisionPtr revIDLastSave="0" documentId="13_ncr:1_{FCB3C2DD-1AE1-E747-8FB1-D555196582F7}" xr6:coauthVersionLast="47" xr6:coauthVersionMax="47" xr10:uidLastSave="{00000000-0000-0000-0000-000000000000}"/>
  <bookViews>
    <workbookView xWindow="0" yWindow="620" windowWidth="50760" windowHeight="27980" xr2:uid="{E55C0847-98E3-4928-A55D-6ECC886F1A24}"/>
  </bookViews>
  <sheets>
    <sheet name="Summary" sheetId="5" r:id="rId1"/>
    <sheet name="Mateusz" sheetId="14" r:id="rId2"/>
    <sheet name="Tomek" sheetId="17" r:id="rId3"/>
    <sheet name="Artem" sheetId="15" r:id="rId4"/>
    <sheet name="Maciek" sheetId="16" r:id="rId5"/>
    <sheet name="Bartek" sheetId="18" r:id="rId6"/>
    <sheet name="Glossary" sheetId="6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6" l="1"/>
  <c r="F3" i="6" s="1"/>
  <c r="G3" i="6" s="1"/>
  <c r="F4" i="6" s="1"/>
  <c r="G4" i="6" s="1"/>
  <c r="R6" i="14"/>
  <c r="R5" i="14"/>
  <c r="R14" i="14"/>
  <c r="R13" i="14"/>
  <c r="R15" i="14"/>
  <c r="I9" i="5"/>
  <c r="I10" i="5"/>
  <c r="I6" i="5"/>
  <c r="I8" i="5"/>
  <c r="I7" i="5"/>
  <c r="G10" i="5"/>
  <c r="G8" i="5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R18" i="18"/>
  <c r="R17" i="18"/>
  <c r="R16" i="18"/>
  <c r="R15" i="18"/>
  <c r="R14" i="18"/>
  <c r="R13" i="18"/>
  <c r="R6" i="18"/>
  <c r="F10" i="5" s="1"/>
  <c r="R5" i="18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R6" i="17" s="1"/>
  <c r="R18" i="17"/>
  <c r="R17" i="17"/>
  <c r="R16" i="17"/>
  <c r="R15" i="17"/>
  <c r="R14" i="17"/>
  <c r="R13" i="17"/>
  <c r="F8" i="5"/>
  <c r="R5" i="17"/>
  <c r="G9" i="5"/>
  <c r="G7" i="5"/>
  <c r="G6" i="5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R18" i="16"/>
  <c r="R17" i="16"/>
  <c r="R16" i="16"/>
  <c r="R15" i="16"/>
  <c r="R14" i="16"/>
  <c r="R13" i="16"/>
  <c r="R5" i="16"/>
  <c r="R21" i="16" s="1"/>
  <c r="S21" i="16" s="1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R18" i="15"/>
  <c r="R17" i="15"/>
  <c r="R16" i="15"/>
  <c r="R15" i="15"/>
  <c r="R14" i="15"/>
  <c r="R13" i="15"/>
  <c r="R5" i="15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R16" i="14"/>
  <c r="R19" i="14"/>
  <c r="S19" i="14" s="1"/>
  <c r="R21" i="18" l="1"/>
  <c r="S21" i="18" s="1"/>
  <c r="E10" i="5"/>
  <c r="R21" i="17"/>
  <c r="S21" i="17" s="1"/>
  <c r="E8" i="5"/>
  <c r="R19" i="18"/>
  <c r="S19" i="18" s="1"/>
  <c r="R8" i="18"/>
  <c r="H10" i="5" s="1"/>
  <c r="S13" i="18"/>
  <c r="S14" i="18"/>
  <c r="S15" i="18"/>
  <c r="S16" i="18"/>
  <c r="S17" i="18"/>
  <c r="S18" i="18"/>
  <c r="R19" i="17"/>
  <c r="S19" i="17" s="1"/>
  <c r="R8" i="17"/>
  <c r="H8" i="5" s="1"/>
  <c r="S13" i="17"/>
  <c r="S14" i="17"/>
  <c r="S15" i="17"/>
  <c r="S16" i="17"/>
  <c r="S17" i="17"/>
  <c r="S18" i="17"/>
  <c r="R21" i="15"/>
  <c r="S21" i="15" s="1"/>
  <c r="E7" i="5"/>
  <c r="S16" i="14"/>
  <c r="F6" i="5"/>
  <c r="E6" i="5"/>
  <c r="S18" i="16"/>
  <c r="S17" i="16"/>
  <c r="R6" i="16"/>
  <c r="F9" i="5" s="1"/>
  <c r="E9" i="5"/>
  <c r="S14" i="15"/>
  <c r="S17" i="15"/>
  <c r="S15" i="15"/>
  <c r="S18" i="15"/>
  <c r="S13" i="15"/>
  <c r="S16" i="15"/>
  <c r="R6" i="15"/>
  <c r="F7" i="5" s="1"/>
  <c r="R8" i="16"/>
  <c r="H9" i="5" s="1"/>
  <c r="R19" i="16"/>
  <c r="S19" i="16" s="1"/>
  <c r="S14" i="16"/>
  <c r="S15" i="16"/>
  <c r="S13" i="16"/>
  <c r="S16" i="16"/>
  <c r="R8" i="14"/>
  <c r="H6" i="5" s="1"/>
  <c r="R17" i="14"/>
  <c r="S17" i="14" s="1"/>
  <c r="S14" i="14"/>
  <c r="S13" i="14"/>
  <c r="S15" i="14"/>
  <c r="E2" i="6"/>
  <c r="B3" i="17" l="1"/>
  <c r="B3" i="18"/>
  <c r="F5" i="6"/>
  <c r="G5" i="6" s="1"/>
  <c r="R20" i="18"/>
  <c r="S20" i="18" s="1"/>
  <c r="R10" i="18"/>
  <c r="J10" i="5" s="1"/>
  <c r="L10" i="5" s="1"/>
  <c r="R20" i="17"/>
  <c r="S20" i="17" s="1"/>
  <c r="R10" i="17"/>
  <c r="J8" i="5" s="1"/>
  <c r="K8" i="5" s="1"/>
  <c r="R8" i="15"/>
  <c r="H7" i="5" s="1"/>
  <c r="H11" i="5" s="1"/>
  <c r="R19" i="15"/>
  <c r="S19" i="15" s="1"/>
  <c r="R10" i="16"/>
  <c r="J9" i="5" s="1"/>
  <c r="L9" i="5" s="1"/>
  <c r="L11" i="5" s="1"/>
  <c r="R20" i="16"/>
  <c r="S20" i="16" s="1"/>
  <c r="R18" i="14"/>
  <c r="S18" i="14" s="1"/>
  <c r="R10" i="14"/>
  <c r="J6" i="5" s="1"/>
  <c r="K6" i="5" s="1"/>
  <c r="H2" i="6"/>
  <c r="I11" i="5"/>
  <c r="E3" i="6"/>
  <c r="B4" i="18" l="1"/>
  <c r="C3" i="18"/>
  <c r="B4" i="17"/>
  <c r="C3" i="17"/>
  <c r="F6" i="6"/>
  <c r="G6" i="6" s="1"/>
  <c r="R20" i="15"/>
  <c r="S20" i="15" s="1"/>
  <c r="R10" i="15"/>
  <c r="J7" i="5" s="1"/>
  <c r="K7" i="5" s="1"/>
  <c r="K11" i="5" s="1"/>
  <c r="I2" i="6"/>
  <c r="E11" i="5"/>
  <c r="H3" i="6"/>
  <c r="I3" i="6" s="1"/>
  <c r="H4" i="6"/>
  <c r="E4" i="6"/>
  <c r="D3" i="17" l="1"/>
  <c r="C4" i="17"/>
  <c r="C4" i="18"/>
  <c r="D3" i="18"/>
  <c r="F7" i="6"/>
  <c r="G7" i="6" s="1"/>
  <c r="A1" i="17"/>
  <c r="Q3" i="17" s="1"/>
  <c r="A1" i="18"/>
  <c r="Q3" i="18" s="1"/>
  <c r="J11" i="5"/>
  <c r="B3" i="16"/>
  <c r="B3" i="15"/>
  <c r="B3" i="14"/>
  <c r="B2" i="5"/>
  <c r="F11" i="5"/>
  <c r="I4" i="6"/>
  <c r="E5" i="6"/>
  <c r="E3" i="18" l="1"/>
  <c r="D4" i="18"/>
  <c r="D4" i="17"/>
  <c r="E3" i="17"/>
  <c r="F8" i="6"/>
  <c r="G8" i="6" s="1"/>
  <c r="A1" i="16"/>
  <c r="Q3" i="16" s="1"/>
  <c r="A1" i="15"/>
  <c r="Q3" i="15" s="1"/>
  <c r="A1" i="14"/>
  <c r="B4" i="14"/>
  <c r="C3" i="14"/>
  <c r="B4" i="15"/>
  <c r="C3" i="15"/>
  <c r="B4" i="16"/>
  <c r="C3" i="16"/>
  <c r="H5" i="6"/>
  <c r="I5" i="6" s="1"/>
  <c r="E6" i="6"/>
  <c r="E4" i="17" l="1"/>
  <c r="F3" i="17"/>
  <c r="E4" i="18"/>
  <c r="F3" i="18"/>
  <c r="F9" i="6"/>
  <c r="G9" i="6" s="1"/>
  <c r="C4" i="16"/>
  <c r="D3" i="16"/>
  <c r="C4" i="15"/>
  <c r="D3" i="15"/>
  <c r="C4" i="14"/>
  <c r="D3" i="14"/>
  <c r="Q3" i="14"/>
  <c r="D4" i="5"/>
  <c r="H6" i="6"/>
  <c r="I6" i="6" s="1"/>
  <c r="H7" i="6"/>
  <c r="E7" i="6"/>
  <c r="F4" i="18" l="1"/>
  <c r="G3" i="18"/>
  <c r="F4" i="17"/>
  <c r="G3" i="17"/>
  <c r="F10" i="6"/>
  <c r="D4" i="14"/>
  <c r="E3" i="14"/>
  <c r="E3" i="15"/>
  <c r="D4" i="15"/>
  <c r="E3" i="16"/>
  <c r="D4" i="16"/>
  <c r="I7" i="6"/>
  <c r="E8" i="6"/>
  <c r="G4" i="17" l="1"/>
  <c r="H3" i="17"/>
  <c r="G4" i="18"/>
  <c r="H3" i="18"/>
  <c r="G10" i="6"/>
  <c r="F11" i="6" s="1"/>
  <c r="G11" i="6" s="1"/>
  <c r="F12" i="6" s="1"/>
  <c r="G12" i="6" s="1"/>
  <c r="F3" i="16"/>
  <c r="E4" i="16"/>
  <c r="F3" i="15"/>
  <c r="E4" i="15"/>
  <c r="F3" i="14"/>
  <c r="E4" i="14"/>
  <c r="H8" i="6"/>
  <c r="I8" i="6" s="1"/>
  <c r="E9" i="6"/>
  <c r="H4" i="18" l="1"/>
  <c r="I3" i="18"/>
  <c r="H4" i="17"/>
  <c r="I3" i="17"/>
  <c r="G3" i="14"/>
  <c r="F4" i="14"/>
  <c r="G3" i="15"/>
  <c r="F4" i="15"/>
  <c r="G3" i="16"/>
  <c r="F4" i="16"/>
  <c r="H9" i="6"/>
  <c r="I9" i="6" s="1"/>
  <c r="E10" i="6"/>
  <c r="I4" i="17" l="1"/>
  <c r="J3" i="17"/>
  <c r="I4" i="18"/>
  <c r="J3" i="18"/>
  <c r="G4" i="16"/>
  <c r="H3" i="16"/>
  <c r="H3" i="15"/>
  <c r="G4" i="15"/>
  <c r="H3" i="14"/>
  <c r="G4" i="14"/>
  <c r="E11" i="6"/>
  <c r="F13" i="6"/>
  <c r="G13" i="6" s="1"/>
  <c r="H10" i="6"/>
  <c r="I10" i="6" s="1"/>
  <c r="K3" i="18" l="1"/>
  <c r="J4" i="18"/>
  <c r="J4" i="17"/>
  <c r="K3" i="17"/>
  <c r="I3" i="14"/>
  <c r="H4" i="14"/>
  <c r="I3" i="15"/>
  <c r="H4" i="15"/>
  <c r="I3" i="16"/>
  <c r="H4" i="16"/>
  <c r="H11" i="6"/>
  <c r="I11" i="6" s="1"/>
  <c r="E12" i="6"/>
  <c r="F14" i="6"/>
  <c r="G14" i="6" s="1"/>
  <c r="L3" i="17" l="1"/>
  <c r="K4" i="17"/>
  <c r="L3" i="18"/>
  <c r="K4" i="18"/>
  <c r="J3" i="16"/>
  <c r="I4" i="16"/>
  <c r="J3" i="15"/>
  <c r="I4" i="15"/>
  <c r="J3" i="14"/>
  <c r="I4" i="14"/>
  <c r="E13" i="6"/>
  <c r="F15" i="6"/>
  <c r="G15" i="6" s="1"/>
  <c r="H12" i="6"/>
  <c r="I12" i="6" s="1"/>
  <c r="L4" i="18" l="1"/>
  <c r="M3" i="18"/>
  <c r="L4" i="17"/>
  <c r="M3" i="17"/>
  <c r="K3" i="14"/>
  <c r="J4" i="14"/>
  <c r="J4" i="15"/>
  <c r="K3" i="15"/>
  <c r="K3" i="16"/>
  <c r="J4" i="16"/>
  <c r="F16" i="6"/>
  <c r="G16" i="6" s="1"/>
  <c r="H14" i="6"/>
  <c r="E14" i="6"/>
  <c r="H13" i="6"/>
  <c r="I13" i="6" s="1"/>
  <c r="N3" i="17" l="1"/>
  <c r="M4" i="17"/>
  <c r="M4" i="18"/>
  <c r="N3" i="18"/>
  <c r="L3" i="16"/>
  <c r="K4" i="16"/>
  <c r="K4" i="15"/>
  <c r="L3" i="15"/>
  <c r="L3" i="14"/>
  <c r="K4" i="14"/>
  <c r="I14" i="6"/>
  <c r="F17" i="6"/>
  <c r="G17" i="6" s="1"/>
  <c r="E15" i="6"/>
  <c r="N4" i="18" l="1"/>
  <c r="O3" i="18"/>
  <c r="O4" i="18" s="1"/>
  <c r="O3" i="17"/>
  <c r="O4" i="17" s="1"/>
  <c r="N4" i="17"/>
  <c r="M3" i="14"/>
  <c r="L4" i="14"/>
  <c r="M3" i="15"/>
  <c r="L4" i="15"/>
  <c r="L4" i="16"/>
  <c r="M3" i="16"/>
  <c r="F18" i="6"/>
  <c r="G18" i="6" s="1"/>
  <c r="E16" i="6"/>
  <c r="H15" i="6"/>
  <c r="I15" i="6" s="1"/>
  <c r="M4" i="16" l="1"/>
  <c r="N3" i="16"/>
  <c r="N3" i="15"/>
  <c r="M4" i="15"/>
  <c r="N3" i="14"/>
  <c r="M4" i="14"/>
  <c r="F19" i="6"/>
  <c r="G19" i="6" s="1"/>
  <c r="E17" i="6"/>
  <c r="H17" i="6"/>
  <c r="H16" i="6"/>
  <c r="I16" i="6" s="1"/>
  <c r="O3" i="14" l="1"/>
  <c r="O4" i="14" s="1"/>
  <c r="N4" i="14"/>
  <c r="O3" i="15"/>
  <c r="O4" i="15" s="1"/>
  <c r="N4" i="15"/>
  <c r="N4" i="16"/>
  <c r="O3" i="16"/>
  <c r="O4" i="16" s="1"/>
  <c r="I17" i="6"/>
  <c r="E18" i="6"/>
  <c r="F20" i="6"/>
  <c r="G20" i="6" s="1"/>
  <c r="E19" i="6" l="1"/>
  <c r="F21" i="6"/>
  <c r="G21" i="6" s="1"/>
  <c r="H18" i="6"/>
  <c r="I18" i="6" s="1"/>
  <c r="F22" i="6" l="1"/>
  <c r="G22" i="6" s="1"/>
  <c r="E20" i="6"/>
  <c r="H19" i="6"/>
  <c r="I19" i="6" s="1"/>
  <c r="E21" i="6" l="1"/>
  <c r="F23" i="6"/>
  <c r="G23" i="6" s="1"/>
  <c r="H21" i="6"/>
  <c r="H20" i="6"/>
  <c r="I20" i="6" s="1"/>
  <c r="F24" i="6" l="1"/>
  <c r="G24" i="6" s="1"/>
  <c r="E22" i="6"/>
  <c r="H22" i="6"/>
  <c r="I21" i="6"/>
  <c r="I22" i="6" l="1"/>
  <c r="E23" i="6"/>
  <c r="F25" i="6"/>
  <c r="G25" i="6" s="1"/>
  <c r="H23" i="6"/>
  <c r="E24" i="6" l="1"/>
  <c r="F26" i="6"/>
  <c r="G26" i="6" s="1"/>
  <c r="I23" i="6"/>
  <c r="E25" i="6" l="1"/>
  <c r="F27" i="6"/>
  <c r="G27" i="6" s="1"/>
  <c r="H24" i="6"/>
  <c r="I24" i="6" s="1"/>
  <c r="F28" i="6" l="1"/>
  <c r="G28" i="6" s="1"/>
  <c r="H26" i="6"/>
  <c r="E26" i="6"/>
  <c r="H25" i="6"/>
  <c r="I25" i="6" s="1"/>
  <c r="I26" i="6" l="1"/>
  <c r="F29" i="6"/>
  <c r="G29" i="6" s="1"/>
  <c r="E27" i="6"/>
  <c r="F30" i="6" l="1"/>
  <c r="G30" i="6" s="1"/>
  <c r="E28" i="6"/>
  <c r="H27" i="6"/>
  <c r="I27" i="6" s="1"/>
  <c r="E29" i="6" l="1"/>
  <c r="F31" i="6"/>
  <c r="G31" i="6" s="1"/>
  <c r="H28" i="6"/>
  <c r="I28" i="6" s="1"/>
  <c r="E30" i="6" l="1"/>
  <c r="F32" i="6"/>
  <c r="G32" i="6" s="1"/>
  <c r="H29" i="6"/>
  <c r="I29" i="6" s="1"/>
  <c r="E31" i="6" l="1"/>
  <c r="F33" i="6"/>
  <c r="G33" i="6" s="1"/>
  <c r="H30" i="6"/>
  <c r="I30" i="6" s="1"/>
  <c r="F34" i="6" l="1"/>
  <c r="G34" i="6" s="1"/>
  <c r="E32" i="6"/>
  <c r="H31" i="6"/>
  <c r="I31" i="6" s="1"/>
  <c r="E33" i="6" l="1"/>
  <c r="F35" i="6"/>
  <c r="G35" i="6" s="1"/>
  <c r="H33" i="6"/>
  <c r="H32" i="6"/>
  <c r="I32" i="6" s="1"/>
  <c r="F36" i="6" l="1"/>
  <c r="G36" i="6" s="1"/>
  <c r="E34" i="6"/>
  <c r="H34" i="6"/>
  <c r="I33" i="6"/>
  <c r="I34" i="6" l="1"/>
  <c r="E35" i="6"/>
  <c r="F37" i="6"/>
  <c r="G37" i="6" s="1"/>
  <c r="H35" i="6"/>
  <c r="E36" i="6" l="1"/>
  <c r="F38" i="6"/>
  <c r="G38" i="6" s="1"/>
  <c r="I35" i="6"/>
  <c r="E37" i="6" l="1"/>
  <c r="F39" i="6"/>
  <c r="G39" i="6" s="1"/>
  <c r="H36" i="6"/>
  <c r="I36" i="6" s="1"/>
  <c r="F40" i="6" l="1"/>
  <c r="G40" i="6" s="1"/>
  <c r="H38" i="6"/>
  <c r="E38" i="6"/>
  <c r="H37" i="6"/>
  <c r="I37" i="6" s="1"/>
  <c r="I38" i="6" l="1"/>
  <c r="E39" i="6"/>
  <c r="H40" i="6" l="1"/>
  <c r="E40" i="6"/>
  <c r="H39" i="6"/>
  <c r="I39" i="6" s="1"/>
  <c r="I40" i="6" l="1"/>
</calcChain>
</file>

<file path=xl/sharedStrings.xml><?xml version="1.0" encoding="utf-8"?>
<sst xmlns="http://schemas.openxmlformats.org/spreadsheetml/2006/main" count="241" uniqueCount="43">
  <si>
    <t>Date</t>
  </si>
  <si>
    <t>No</t>
  </si>
  <si>
    <t>Current sprint</t>
  </si>
  <si>
    <t>Team</t>
  </si>
  <si>
    <t>Sprint Capacity</t>
  </si>
  <si>
    <t>Coding capacity</t>
  </si>
  <si>
    <t>Booking rate</t>
  </si>
  <si>
    <t>Capacity to planning</t>
  </si>
  <si>
    <t>Planned hours</t>
  </si>
  <si>
    <t>Free hours</t>
  </si>
  <si>
    <t>BE</t>
  </si>
  <si>
    <t>FE</t>
  </si>
  <si>
    <t>Mateusz</t>
  </si>
  <si>
    <t>Artem</t>
  </si>
  <si>
    <t>Maciek</t>
  </si>
  <si>
    <t>Bartek</t>
  </si>
  <si>
    <t>Days</t>
  </si>
  <si>
    <t>Hours</t>
  </si>
  <si>
    <t>Scrum Daily</t>
  </si>
  <si>
    <t>Specification</t>
  </si>
  <si>
    <t>% Hours</t>
  </si>
  <si>
    <t>Daily</t>
  </si>
  <si>
    <t>Scurm (all)</t>
  </si>
  <si>
    <t>CR</t>
  </si>
  <si>
    <t>Grooming</t>
  </si>
  <si>
    <t>Grooming (p)</t>
  </si>
  <si>
    <t>Grooming ALL</t>
  </si>
  <si>
    <t>Total</t>
  </si>
  <si>
    <t>Scrum Planning</t>
  </si>
  <si>
    <t>Backlog refinement</t>
  </si>
  <si>
    <t>Scrum Sprint Review</t>
  </si>
  <si>
    <t>SPRINT</t>
  </si>
  <si>
    <t>START</t>
  </si>
  <si>
    <t>STOP</t>
  </si>
  <si>
    <t>Holiday</t>
  </si>
  <si>
    <t>Tomek</t>
  </si>
  <si>
    <t>Scrum - Grooming</t>
  </si>
  <si>
    <t>Scrum - Daily</t>
  </si>
  <si>
    <t>Scrum - Review Prep</t>
  </si>
  <si>
    <t>Scrum - Planning</t>
  </si>
  <si>
    <t>Scrum - Sprint Review</t>
  </si>
  <si>
    <t>Scrum - Retro</t>
  </si>
  <si>
    <t>Code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</si>
</sst>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0.0%"/>
    <numFmt numFmtId="166" formatCode="0.0"/>
  </numFmts>
  <fonts count="1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theme="4" tint="-0.249977111117893"/>
      <name val="Calibri"/>
      <family val="2"/>
      <charset val="238"/>
      <scheme val="minor"/>
    </font>
    <font>
      <b/>
      <sz val="11"/>
      <color theme="4" tint="-0.249977111117893"/>
      <name val="Calibri"/>
      <family val="2"/>
      <charset val="238"/>
      <scheme val="minor"/>
    </font>
    <font>
      <sz val="11"/>
      <color theme="4" tint="-0.499984740745262"/>
      <name val="Calibri"/>
      <family val="2"/>
      <charset val="238"/>
      <scheme val="minor"/>
    </font>
    <font>
      <b/>
      <sz val="11"/>
      <color theme="4" tint="-0.499984740745262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3E7ED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3F5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79995117038483843"/>
      </left>
      <right/>
      <top style="thin">
        <color theme="3" tint="0.79995117038483843"/>
      </top>
      <bottom style="thin">
        <color theme="3" tint="0.79995117038483843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79995117038483843"/>
      </top>
      <bottom style="thin">
        <color theme="3" tint="0.79995117038483843"/>
      </bottom>
      <diagonal/>
    </border>
    <border>
      <left/>
      <right/>
      <top style="double">
        <color theme="3"/>
      </top>
      <bottom/>
      <diagonal/>
    </border>
    <border>
      <left style="thin">
        <color theme="3" tint="0.79995117038483843"/>
      </left>
      <right/>
      <top style="thin">
        <color theme="3" tint="0.79995117038483843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79995117038483843"/>
      </top>
      <bottom/>
      <diagonal/>
    </border>
    <border>
      <left style="thin">
        <color theme="3" tint="0.79995117038483843"/>
      </left>
      <right/>
      <top/>
      <bottom style="thin">
        <color theme="3" tint="0.79995117038483843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79995117038483843"/>
      </bottom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rgb="FFE3E7ED"/>
      </left>
      <right/>
      <top style="thin">
        <color rgb="FFE3E7ED"/>
      </top>
      <bottom style="thin">
        <color rgb="FFE3E7ED"/>
      </bottom>
      <diagonal/>
    </border>
    <border>
      <left/>
      <right/>
      <top style="thin">
        <color rgb="FFE3E7ED"/>
      </top>
      <bottom style="thin">
        <color rgb="FFE3E7ED"/>
      </bottom>
      <diagonal/>
    </border>
    <border>
      <left/>
      <right style="thin">
        <color rgb="FFE3E7ED"/>
      </right>
      <top style="thin">
        <color rgb="FFE3E7ED"/>
      </top>
      <bottom style="thin">
        <color rgb="FFE3E7ED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theme="3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4" fontId="0" fillId="4" borderId="2" xfId="0" applyNumberFormat="1" applyFill="1" applyBorder="1"/>
    <xf numFmtId="0" fontId="5" fillId="0" borderId="3" xfId="0" applyFont="1" applyBorder="1" applyAlignment="1">
      <alignment horizontal="center" vertical="center"/>
    </xf>
    <xf numFmtId="164" fontId="0" fillId="4" borderId="5" xfId="0" applyNumberFormat="1" applyFill="1" applyBorder="1"/>
    <xf numFmtId="0" fontId="5" fillId="0" borderId="6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64" fontId="0" fillId="4" borderId="7" xfId="0" applyNumberFormat="1" applyFill="1" applyBorder="1"/>
    <xf numFmtId="0" fontId="0" fillId="4" borderId="8" xfId="0" applyFill="1" applyBorder="1" applyAlignment="1">
      <alignment horizontal="right"/>
    </xf>
    <xf numFmtId="0" fontId="0" fillId="4" borderId="9" xfId="0" applyFill="1" applyBorder="1"/>
    <xf numFmtId="0" fontId="5" fillId="0" borderId="10" xfId="0" applyFont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9" fontId="0" fillId="0" borderId="1" xfId="0" applyNumberFormat="1" applyBorder="1"/>
    <xf numFmtId="0" fontId="3" fillId="4" borderId="0" xfId="0" applyFont="1" applyFill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3" fillId="3" borderId="0" xfId="0" applyFont="1" applyFill="1"/>
    <xf numFmtId="165" fontId="0" fillId="0" borderId="17" xfId="1" applyNumberFormat="1" applyFont="1" applyBorder="1"/>
    <xf numFmtId="165" fontId="0" fillId="0" borderId="0" xfId="1" applyNumberFormat="1" applyFont="1" applyBorder="1"/>
    <xf numFmtId="14" fontId="0" fillId="0" borderId="0" xfId="0" applyNumberFormat="1"/>
    <xf numFmtId="0" fontId="0" fillId="8" borderId="0" xfId="0" applyFill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8" borderId="0" xfId="0" applyNumberFormat="1" applyFill="1"/>
    <xf numFmtId="0" fontId="0" fillId="8" borderId="4" xfId="0" applyFill="1" applyBorder="1"/>
    <xf numFmtId="0" fontId="2" fillId="10" borderId="0" xfId="0" applyFont="1" applyFill="1"/>
    <xf numFmtId="0" fontId="2" fillId="10" borderId="0" xfId="0" applyFont="1" applyFill="1" applyAlignment="1">
      <alignment horizontal="center" vertical="center"/>
    </xf>
    <xf numFmtId="0" fontId="4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7" fillId="0" borderId="0" xfId="0" applyFont="1" applyAlignment="1">
      <alignment horizontal="center" vertical="center"/>
    </xf>
    <xf numFmtId="0" fontId="2" fillId="11" borderId="0" xfId="0" applyFont="1" applyFill="1"/>
    <xf numFmtId="0" fontId="2" fillId="11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9" fontId="3" fillId="8" borderId="4" xfId="0" applyNumberFormat="1" applyFont="1" applyFill="1" applyBorder="1" applyAlignment="1">
      <alignment horizontal="center" vertical="center"/>
    </xf>
    <xf numFmtId="166" fontId="3" fillId="8" borderId="4" xfId="0" applyNumberFormat="1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0" fontId="0" fillId="0" borderId="19" xfId="0" applyBorder="1"/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2" fontId="0" fillId="0" borderId="1" xfId="0" applyNumberFormat="1" applyBorder="1"/>
    <xf numFmtId="0" fontId="2" fillId="9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2" fillId="7" borderId="11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5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</dxfs>
  <tableStyles count="0" defaultTableStyle="TableStyleMedium2" defaultPivotStyle="PivotStyleLight16"/>
  <colors>
    <mruColors>
      <color rgb="FFE3E7ED"/>
      <color rgb="FFECF5E7"/>
      <color rgb="FF003F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0</xdr:col>
      <xdr:colOff>778933</xdr:colOff>
      <xdr:row>3</xdr:row>
      <xdr:rowOff>169334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8E344B77-DCA2-4368-8CDB-31C72E868577}"/>
            </a:ext>
          </a:extLst>
        </xdr:cNvPr>
        <xdr:cNvCxnSpPr/>
      </xdr:nvCxnSpPr>
      <xdr:spPr>
        <a:xfrm>
          <a:off x="5715" y="272415"/>
          <a:ext cx="777028" cy="357929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0</xdr:col>
      <xdr:colOff>778933</xdr:colOff>
      <xdr:row>3</xdr:row>
      <xdr:rowOff>169334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6FBBFC38-6990-42A3-85D9-F3C2E3AE062B}"/>
            </a:ext>
          </a:extLst>
        </xdr:cNvPr>
        <xdr:cNvCxnSpPr/>
      </xdr:nvCxnSpPr>
      <xdr:spPr>
        <a:xfrm>
          <a:off x="7620" y="274320"/>
          <a:ext cx="771313" cy="352214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0</xdr:col>
      <xdr:colOff>778933</xdr:colOff>
      <xdr:row>3</xdr:row>
      <xdr:rowOff>169334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E6B5D173-71FA-4A35-ACDA-EBD8930BA865}"/>
            </a:ext>
          </a:extLst>
        </xdr:cNvPr>
        <xdr:cNvCxnSpPr/>
      </xdr:nvCxnSpPr>
      <xdr:spPr>
        <a:xfrm>
          <a:off x="5715" y="272415"/>
          <a:ext cx="777028" cy="357929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0</xdr:col>
      <xdr:colOff>778933</xdr:colOff>
      <xdr:row>3</xdr:row>
      <xdr:rowOff>169334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A822391A-588C-4558-9D1C-EB0B11D7C967}"/>
            </a:ext>
          </a:extLst>
        </xdr:cNvPr>
        <xdr:cNvCxnSpPr/>
      </xdr:nvCxnSpPr>
      <xdr:spPr>
        <a:xfrm>
          <a:off x="5715" y="272415"/>
          <a:ext cx="777028" cy="357929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0</xdr:col>
      <xdr:colOff>778933</xdr:colOff>
      <xdr:row>3</xdr:row>
      <xdr:rowOff>169334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6E63956-094E-4C41-8818-A44880B40BA8}"/>
            </a:ext>
          </a:extLst>
        </xdr:cNvPr>
        <xdr:cNvCxnSpPr/>
      </xdr:nvCxnSpPr>
      <xdr:spPr>
        <a:xfrm>
          <a:off x="7620" y="274320"/>
          <a:ext cx="771313" cy="352214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83A40-2AEB-454A-B956-79170BCED9CA}">
  <sheetPr codeName="Sheet1"/>
  <dimension ref="A1:L15"/>
  <sheetViews>
    <sheetView showGridLines="0" tabSelected="1" zoomScale="180" zoomScaleNormal="180" workbookViewId="0">
      <selection activeCell="B26" sqref="B26"/>
    </sheetView>
  </sheetViews>
  <sheetFormatPr baseColWidth="10" defaultColWidth="8.83203125" defaultRowHeight="15" x14ac:dyDescent="0.2"/>
  <cols>
    <col min="1" max="1" width="17.6640625" customWidth="1"/>
    <col min="2" max="2" width="12.6640625" customWidth="1"/>
    <col min="3" max="3" width="4" customWidth="1"/>
    <col min="4" max="4" width="12" customWidth="1"/>
    <col min="5" max="7" width="17.33203125" style="23" customWidth="1"/>
    <col min="8" max="8" width="20.1640625" style="23" customWidth="1"/>
    <col min="9" max="9" width="17.33203125" style="23" hidden="1" customWidth="1"/>
    <col min="10" max="10" width="17.33203125" style="23" customWidth="1"/>
    <col min="11" max="11" width="15" customWidth="1"/>
  </cols>
  <sheetData>
    <row r="1" spans="1:12" x14ac:dyDescent="0.2">
      <c r="A1" s="33"/>
      <c r="B1" s="34" t="s">
        <v>0</v>
      </c>
      <c r="C1" s="34" t="s">
        <v>1</v>
      </c>
    </row>
    <row r="2" spans="1:12" ht="16" x14ac:dyDescent="0.2">
      <c r="A2" s="40" t="s">
        <v>2</v>
      </c>
      <c r="B2" s="38" t="str">
        <f>_xlfn.XLOOKUP(C2,Glossary!E:E,Glossary!H:H)</f>
        <v>24.11 - 07.12</v>
      </c>
      <c r="C2" s="39">
        <v>1</v>
      </c>
    </row>
    <row r="3" spans="1:12" x14ac:dyDescent="0.2">
      <c r="A3" s="32"/>
      <c r="B3" s="31"/>
      <c r="C3" s="30"/>
    </row>
    <row r="4" spans="1:12" x14ac:dyDescent="0.2">
      <c r="D4" s="55" t="str">
        <f>Mateusz!A1</f>
        <v>SPRINT 1 (24.11 - 07.12)</v>
      </c>
      <c r="E4" s="55"/>
      <c r="F4" s="55"/>
      <c r="G4" s="55"/>
      <c r="H4" s="55"/>
      <c r="I4" s="55"/>
      <c r="J4" s="55"/>
      <c r="K4" s="55"/>
      <c r="L4" s="55"/>
    </row>
    <row r="5" spans="1:12" x14ac:dyDescent="0.2">
      <c r="D5" s="27" t="s">
        <v>3</v>
      </c>
      <c r="E5" s="28" t="s">
        <v>4</v>
      </c>
      <c r="F5" s="28" t="s">
        <v>5</v>
      </c>
      <c r="G5" s="28" t="s">
        <v>6</v>
      </c>
      <c r="H5" s="28" t="s">
        <v>7</v>
      </c>
      <c r="I5" s="28" t="s">
        <v>8</v>
      </c>
      <c r="J5" s="28" t="s">
        <v>9</v>
      </c>
      <c r="K5" s="28" t="s">
        <v>10</v>
      </c>
      <c r="L5" s="28" t="s">
        <v>11</v>
      </c>
    </row>
    <row r="6" spans="1:12" x14ac:dyDescent="0.2">
      <c r="D6" t="s">
        <v>12</v>
      </c>
      <c r="E6" s="23">
        <f>_xlfn.XLOOKUP(E$5,Mateusz!$Q$5:$Q$10,Mateusz!$R$5:$R$10,"To chceck")</f>
        <v>76</v>
      </c>
      <c r="F6" s="23">
        <f>_xlfn.XLOOKUP(F$5,Mateusz!$Q$5:$Q$10,Mateusz!$R$5:$R$10,"To chceck")</f>
        <v>61</v>
      </c>
      <c r="G6" s="23">
        <f>_xlfn.XLOOKUP(G$5,Mateusz!$Q$5:$Q$10,Mateusz!$R$5:$R$10,"To chceck")</f>
        <v>0.75</v>
      </c>
      <c r="H6" s="41">
        <f>_xlfn.XLOOKUP(H$5,Mateusz!$Q$5:$Q$10,Mateusz!$R$5:$R$10,"To chceck")</f>
        <v>45.75</v>
      </c>
      <c r="I6" s="23">
        <f>_xlfn.XLOOKUP(I$5,Mateusz!$Q$5:$Q$10,Mateusz!$R$5:$R$10,"To chceck")</f>
        <v>0</v>
      </c>
      <c r="J6" s="41">
        <f>_xlfn.XLOOKUP(J$5,Mateusz!$Q$5:$Q$10,Mateusz!$R$5:$R$10,"To chceck")</f>
        <v>45.75</v>
      </c>
      <c r="K6" s="43">
        <f>J6</f>
        <v>45.75</v>
      </c>
      <c r="L6" s="1"/>
    </row>
    <row r="7" spans="1:12" x14ac:dyDescent="0.2">
      <c r="D7" t="s">
        <v>13</v>
      </c>
      <c r="E7" s="23">
        <f>_xlfn.XLOOKUP(E$5,Artem!$Q$5:$Q$10,Artem!$R$5:$R$10,"To chceck")</f>
        <v>45</v>
      </c>
      <c r="F7" s="23">
        <f>_xlfn.XLOOKUP(F$5,Artem!$Q$5:$Q$10,Artem!$R$5:$R$10,"To chceck")</f>
        <v>37</v>
      </c>
      <c r="G7" s="23">
        <f>_xlfn.XLOOKUP(G$5,Artem!$Q$5:$Q$10,Artem!$R$5:$R$10,"To chceck")</f>
        <v>0.75</v>
      </c>
      <c r="H7" s="41">
        <f>_xlfn.XLOOKUP(H$5,Artem!$Q$5:$Q$10,Artem!$R$5:$R$10,"To chceck")</f>
        <v>27.75</v>
      </c>
      <c r="I7" s="23">
        <f>Artem!R9</f>
        <v>0</v>
      </c>
      <c r="J7" s="41">
        <f>_xlfn.XLOOKUP(J$5,Artem!$Q$5:$Q$10,Artem!$R$5:$R$10,"To chceck")</f>
        <v>27.75</v>
      </c>
      <c r="K7" s="43">
        <f>J7</f>
        <v>27.75</v>
      </c>
      <c r="L7" s="1"/>
    </row>
    <row r="8" spans="1:12" ht="16" thickBot="1" x14ac:dyDescent="0.25">
      <c r="D8" t="s">
        <v>35</v>
      </c>
      <c r="E8" s="23">
        <f>_xlfn.XLOOKUP(E$5,Tomek!$Q$5:$Q$10,Tomek!$R$5:$R$10,"To chceck")</f>
        <v>29</v>
      </c>
      <c r="F8" s="23">
        <f>_xlfn.XLOOKUP(F$5,Tomek!$Q$5:$Q$10,Tomek!$R$5:$R$10,"To chceck")</f>
        <v>21</v>
      </c>
      <c r="G8" s="23">
        <f>_xlfn.XLOOKUP(G$5,Tomek!$Q$5:$Q$10,Tomek!$R$5:$R$10,"To chceck")</f>
        <v>0.55000000000000004</v>
      </c>
      <c r="H8" s="41">
        <f>_xlfn.XLOOKUP(H$5,Tomek!$Q$5:$Q$10,Tomek!$R$5:$R$10,"To chceck")</f>
        <v>11.55</v>
      </c>
      <c r="I8" s="23">
        <f>Tomek!R9</f>
        <v>0</v>
      </c>
      <c r="J8" s="41">
        <f>_xlfn.XLOOKUP(J$5,Tomek!$Q$5:$Q$10,Tomek!$R$5:$R$10,"To chceck")</f>
        <v>11.55</v>
      </c>
      <c r="K8" s="43">
        <f>J8</f>
        <v>11.55</v>
      </c>
      <c r="L8" s="1"/>
    </row>
    <row r="9" spans="1:12" x14ac:dyDescent="0.2">
      <c r="D9" s="44" t="s">
        <v>14</v>
      </c>
      <c r="E9" s="45">
        <f>_xlfn.XLOOKUP(E$5,Maciek!$Q$5:$Q$10,Maciek!$R$5:$R$10,"To chceck")</f>
        <v>78.5</v>
      </c>
      <c r="F9" s="45">
        <f>_xlfn.XLOOKUP(F$5,Maciek!$Q$5:$Q$10,Maciek!$R$5:$R$10,"To chceck")</f>
        <v>69</v>
      </c>
      <c r="G9" s="45">
        <f>_xlfn.XLOOKUP(G$5,Maciek!$Q$5:$Q$10,Maciek!$R$5:$R$10,"To chceck")</f>
        <v>0.75</v>
      </c>
      <c r="H9" s="46">
        <f>_xlfn.XLOOKUP(H$5,Maciek!$Q$5:$Q$10,Maciek!$R$5:$R$10,"To chceck")</f>
        <v>51.75</v>
      </c>
      <c r="I9" s="45">
        <f>Maciek!R9</f>
        <v>20</v>
      </c>
      <c r="J9" s="46">
        <f>_xlfn.XLOOKUP(J$5,Maciek!$Q$5:$Q$10,Maciek!$R$5:$R$10,"To chceck")</f>
        <v>31.75</v>
      </c>
      <c r="K9" s="47"/>
      <c r="L9" s="48">
        <f>J9</f>
        <v>31.75</v>
      </c>
    </row>
    <row r="10" spans="1:12" ht="16" thickBot="1" x14ac:dyDescent="0.25">
      <c r="D10" s="49" t="s">
        <v>15</v>
      </c>
      <c r="E10" s="50">
        <f>_xlfn.XLOOKUP(E$5,Bartek!$Q$5:$Q$10,Bartek!$R$5:$R$10,"To chceck")</f>
        <v>80</v>
      </c>
      <c r="F10" s="50">
        <f>_xlfn.XLOOKUP(F$5,Bartek!$Q$5:$Q$10,Bartek!$R$5:$R$10,"To chceck")</f>
        <v>70.5</v>
      </c>
      <c r="G10" s="50">
        <f>_xlfn.XLOOKUP(G$5,Bartek!$Q$5:$Q$10,Bartek!$R$5:$R$10,"To chceck")</f>
        <v>0.75</v>
      </c>
      <c r="H10" s="51">
        <f>_xlfn.XLOOKUP(H$5,Bartek!$Q$5:$Q$10,Bartek!$R$5:$R$10,"To chceck")</f>
        <v>52.875</v>
      </c>
      <c r="I10" s="50">
        <f>Bartek!R9</f>
        <v>13</v>
      </c>
      <c r="J10" s="51">
        <f>_xlfn.XLOOKUP(J$5,Bartek!$Q$5:$Q$10,Bartek!$R$5:$R$10,"To chceck")</f>
        <v>39.875</v>
      </c>
      <c r="K10" s="52"/>
      <c r="L10" s="53">
        <f>J10</f>
        <v>39.875</v>
      </c>
    </row>
    <row r="11" spans="1:12" ht="16" thickTop="1" x14ac:dyDescent="0.2">
      <c r="D11" s="26"/>
      <c r="E11" s="35">
        <f>SUM(E6:E9)</f>
        <v>228.5</v>
      </c>
      <c r="F11" s="35">
        <f>SUM(F6:F9)</f>
        <v>188</v>
      </c>
      <c r="G11" s="36"/>
      <c r="H11" s="37">
        <f>SUM(H6:H10)</f>
        <v>189.67500000000001</v>
      </c>
      <c r="I11" s="35">
        <f>SUM(I6:I9)</f>
        <v>20</v>
      </c>
      <c r="J11" s="37">
        <f>SUM(J6:J10)</f>
        <v>156.67500000000001</v>
      </c>
      <c r="K11" s="37">
        <f>SUM(K6:K10)</f>
        <v>85.05</v>
      </c>
      <c r="L11" s="37">
        <f>SUM(L6:L10)</f>
        <v>71.625</v>
      </c>
    </row>
    <row r="13" spans="1:12" x14ac:dyDescent="0.2">
      <c r="L13" s="42"/>
    </row>
    <row r="15" spans="1:12" x14ac:dyDescent="0.2">
      <c r="D15" s="29"/>
    </row>
  </sheetData>
  <mergeCells count="1">
    <mergeCell ref="D4:L4"/>
  </mergeCells>
  <pageMargins left="0.7" right="0.7" top="0.75" bottom="0.75" header="0.3" footer="0.3"/>
  <ignoredErrors>
    <ignoredError sqref="F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B6995-6B36-4149-821B-56FA72DF2A28}">
  <dimension ref="A1:S23"/>
  <sheetViews>
    <sheetView showGridLines="0" zoomScale="180" zoomScaleNormal="180" workbookViewId="0">
      <selection activeCell="R21" sqref="R21"/>
    </sheetView>
  </sheetViews>
  <sheetFormatPr baseColWidth="10" defaultColWidth="8.83203125" defaultRowHeight="15" x14ac:dyDescent="0.2"/>
  <cols>
    <col min="1" max="1" width="11.6640625" customWidth="1"/>
    <col min="2" max="6" width="16.83203125" style="1" customWidth="1"/>
    <col min="7" max="8" width="16.83203125" style="1" hidden="1" customWidth="1"/>
    <col min="9" max="13" width="16.83203125" customWidth="1"/>
    <col min="14" max="15" width="17.1640625" hidden="1" customWidth="1"/>
    <col min="16" max="16" width="6.1640625" customWidth="1"/>
    <col min="17" max="17" width="19.33203125" customWidth="1"/>
    <col min="18" max="18" width="13.5" customWidth="1"/>
    <col min="19" max="19" width="12.5" customWidth="1"/>
  </cols>
  <sheetData>
    <row r="1" spans="1:19" x14ac:dyDescent="0.2">
      <c r="A1" s="56" t="str">
        <f>_xlfn.XLOOKUP(Summary!$C$2,Glossary!E:E,Glossary!I:I)</f>
        <v>SPRINT 1 (24.11 - 07.12)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1:19" ht="6" customHeight="1" x14ac:dyDescent="0.2"/>
    <row r="3" spans="1:19" x14ac:dyDescent="0.2">
      <c r="A3" s="9" t="s">
        <v>16</v>
      </c>
      <c r="B3" s="12">
        <f>_xlfn.XLOOKUP(Summary!$C$2,Glossary!E:E,Glossary!F:F)</f>
        <v>45985</v>
      </c>
      <c r="C3" s="12">
        <f>B3+1</f>
        <v>45986</v>
      </c>
      <c r="D3" s="12">
        <f>C3+1</f>
        <v>45987</v>
      </c>
      <c r="E3" s="12">
        <f t="shared" ref="E3:O3" si="0">D3+1</f>
        <v>45988</v>
      </c>
      <c r="F3" s="12">
        <f t="shared" si="0"/>
        <v>45989</v>
      </c>
      <c r="G3" s="12">
        <f t="shared" si="0"/>
        <v>45990</v>
      </c>
      <c r="H3" s="12">
        <f t="shared" si="0"/>
        <v>45991</v>
      </c>
      <c r="I3" s="12">
        <f t="shared" si="0"/>
        <v>45992</v>
      </c>
      <c r="J3" s="12">
        <f t="shared" si="0"/>
        <v>45993</v>
      </c>
      <c r="K3" s="12">
        <f t="shared" si="0"/>
        <v>45994</v>
      </c>
      <c r="L3" s="12">
        <f t="shared" si="0"/>
        <v>45995</v>
      </c>
      <c r="M3" s="12">
        <f t="shared" si="0"/>
        <v>45996</v>
      </c>
      <c r="N3" s="12">
        <f t="shared" si="0"/>
        <v>45997</v>
      </c>
      <c r="O3" s="12">
        <f t="shared" si="0"/>
        <v>45998</v>
      </c>
      <c r="Q3" s="57" t="str">
        <f>"Summary - "&amp;A1</f>
        <v>Summary - SPRINT 1 (24.11 - 07.12)</v>
      </c>
      <c r="R3" s="58"/>
    </row>
    <row r="4" spans="1:19" x14ac:dyDescent="0.2">
      <c r="A4" s="10" t="s">
        <v>17</v>
      </c>
      <c r="B4" s="13" t="str">
        <f>TEXT(B3,"[$-409]DDDD")</f>
        <v>Monday</v>
      </c>
      <c r="C4" s="13" t="str">
        <f t="shared" ref="C4:O4" si="1">TEXT(C3,"[$-409]DDDD")</f>
        <v>Tuesday</v>
      </c>
      <c r="D4" s="13" t="str">
        <f t="shared" si="1"/>
        <v>Wednesday</v>
      </c>
      <c r="E4" s="13" t="str">
        <f t="shared" si="1"/>
        <v>Thursday</v>
      </c>
      <c r="F4" s="13" t="str">
        <f t="shared" si="1"/>
        <v>Friday</v>
      </c>
      <c r="G4" s="13" t="str">
        <f t="shared" si="1"/>
        <v>Saturday</v>
      </c>
      <c r="H4" s="13" t="str">
        <f t="shared" si="1"/>
        <v>Sunday</v>
      </c>
      <c r="I4" s="13" t="str">
        <f t="shared" si="1"/>
        <v>Monday</v>
      </c>
      <c r="J4" s="13" t="str">
        <f t="shared" si="1"/>
        <v>Tuesday</v>
      </c>
      <c r="K4" s="13" t="str">
        <f t="shared" si="1"/>
        <v>Wednesday</v>
      </c>
      <c r="L4" s="13" t="str">
        <f t="shared" si="1"/>
        <v>Thursday</v>
      </c>
      <c r="M4" s="13" t="str">
        <f t="shared" si="1"/>
        <v>Friday</v>
      </c>
      <c r="N4" s="13" t="str">
        <f t="shared" si="1"/>
        <v>Saturday</v>
      </c>
      <c r="O4" s="13" t="str">
        <f t="shared" si="1"/>
        <v>Sunday</v>
      </c>
      <c r="Q4" s="59"/>
      <c r="R4" s="60"/>
    </row>
    <row r="5" spans="1:19" x14ac:dyDescent="0.2">
      <c r="A5" s="8">
        <v>0.33333333333333331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>
        <v>1</v>
      </c>
      <c r="O5" s="11">
        <v>1</v>
      </c>
      <c r="Q5" s="2" t="s">
        <v>4</v>
      </c>
      <c r="R5" s="2">
        <f>COUNTA(B5:M21)/2</f>
        <v>76</v>
      </c>
    </row>
    <row r="6" spans="1:19" x14ac:dyDescent="0.2">
      <c r="A6" s="3">
        <v>0.35416666666666669</v>
      </c>
      <c r="B6" s="11">
        <v>1</v>
      </c>
      <c r="C6" s="11">
        <v>1</v>
      </c>
      <c r="D6" s="11">
        <v>1</v>
      </c>
      <c r="E6" s="11">
        <v>1</v>
      </c>
      <c r="F6" s="11">
        <v>1</v>
      </c>
      <c r="G6" s="11"/>
      <c r="H6" s="11"/>
      <c r="I6" s="11">
        <v>1</v>
      </c>
      <c r="J6" s="11">
        <v>1</v>
      </c>
      <c r="K6" s="11">
        <v>1</v>
      </c>
      <c r="L6" s="11">
        <v>1</v>
      </c>
      <c r="M6" s="11">
        <v>1</v>
      </c>
      <c r="N6" s="4">
        <v>1</v>
      </c>
      <c r="O6" s="4">
        <v>1</v>
      </c>
      <c r="Q6" s="2" t="s">
        <v>5</v>
      </c>
      <c r="R6" s="2">
        <f>SUM(B23:M23)</f>
        <v>61</v>
      </c>
    </row>
    <row r="7" spans="1:19" x14ac:dyDescent="0.2">
      <c r="A7" s="3">
        <v>0.375</v>
      </c>
      <c r="B7" s="11">
        <v>1</v>
      </c>
      <c r="C7" s="11">
        <v>1</v>
      </c>
      <c r="D7" s="11">
        <v>1</v>
      </c>
      <c r="E7" s="11">
        <v>1</v>
      </c>
      <c r="F7" s="11">
        <v>1</v>
      </c>
      <c r="G7" s="11"/>
      <c r="H7" s="11"/>
      <c r="I7" s="11">
        <v>1</v>
      </c>
      <c r="J7" s="11">
        <v>1</v>
      </c>
      <c r="K7" s="11">
        <v>1</v>
      </c>
      <c r="L7" s="11">
        <v>1</v>
      </c>
      <c r="M7" s="11">
        <v>1</v>
      </c>
      <c r="N7" s="4">
        <v>1</v>
      </c>
      <c r="O7" s="4">
        <v>1</v>
      </c>
      <c r="Q7" s="2" t="s">
        <v>6</v>
      </c>
      <c r="R7" s="14">
        <v>0.75</v>
      </c>
    </row>
    <row r="8" spans="1:19" x14ac:dyDescent="0.2">
      <c r="A8" s="3">
        <v>0.39583333333333298</v>
      </c>
      <c r="B8" s="11" t="s">
        <v>37</v>
      </c>
      <c r="C8" s="11" t="s">
        <v>37</v>
      </c>
      <c r="D8" s="11" t="s">
        <v>37</v>
      </c>
      <c r="E8" s="11" t="s">
        <v>37</v>
      </c>
      <c r="F8" s="11" t="s">
        <v>37</v>
      </c>
      <c r="G8" s="11"/>
      <c r="H8" s="11"/>
      <c r="I8" s="11" t="s">
        <v>37</v>
      </c>
      <c r="J8" s="11" t="s">
        <v>37</v>
      </c>
      <c r="K8" s="11" t="s">
        <v>37</v>
      </c>
      <c r="L8" s="11" t="s">
        <v>37</v>
      </c>
      <c r="M8" s="11" t="s">
        <v>37</v>
      </c>
      <c r="N8" s="4">
        <v>1</v>
      </c>
      <c r="O8" s="4">
        <v>1</v>
      </c>
      <c r="Q8" s="2" t="s">
        <v>7</v>
      </c>
      <c r="R8" s="54">
        <f>R6*R7</f>
        <v>45.75</v>
      </c>
    </row>
    <row r="9" spans="1:19" x14ac:dyDescent="0.2">
      <c r="A9" s="3">
        <v>0.41666666666666702</v>
      </c>
      <c r="B9" s="11" t="s">
        <v>42</v>
      </c>
      <c r="C9" s="11" t="s">
        <v>42</v>
      </c>
      <c r="D9" s="11" t="s">
        <v>42</v>
      </c>
      <c r="E9" s="11" t="s">
        <v>42</v>
      </c>
      <c r="F9" s="11" t="s">
        <v>42</v>
      </c>
      <c r="G9" s="11"/>
      <c r="H9" s="11"/>
      <c r="I9" s="11" t="s">
        <v>42</v>
      </c>
      <c r="J9" s="11" t="s">
        <v>42</v>
      </c>
      <c r="K9" s="11" t="s">
        <v>42</v>
      </c>
      <c r="L9" s="11" t="s">
        <v>42</v>
      </c>
      <c r="M9" s="11" t="s">
        <v>42</v>
      </c>
      <c r="N9" s="4" t="s">
        <v>18</v>
      </c>
      <c r="O9" s="4" t="s">
        <v>18</v>
      </c>
      <c r="Q9" s="2" t="s">
        <v>8</v>
      </c>
      <c r="R9" s="2"/>
    </row>
    <row r="10" spans="1:19" x14ac:dyDescent="0.2">
      <c r="A10" s="3">
        <v>0.4375</v>
      </c>
      <c r="B10" s="11">
        <v>1</v>
      </c>
      <c r="C10" s="11">
        <v>1</v>
      </c>
      <c r="D10" s="11">
        <v>1</v>
      </c>
      <c r="E10" s="11"/>
      <c r="F10" s="11">
        <v>1</v>
      </c>
      <c r="G10" s="11"/>
      <c r="H10" s="11"/>
      <c r="I10" s="11">
        <v>1</v>
      </c>
      <c r="J10" s="11">
        <v>1</v>
      </c>
      <c r="K10" s="11">
        <v>1</v>
      </c>
      <c r="L10" s="11">
        <v>1</v>
      </c>
      <c r="M10" s="11" t="s">
        <v>38</v>
      </c>
      <c r="N10" s="4">
        <v>1</v>
      </c>
      <c r="O10" s="4">
        <v>1</v>
      </c>
      <c r="Q10" s="2" t="s">
        <v>9</v>
      </c>
      <c r="R10" s="54">
        <f>R8-R9</f>
        <v>45.75</v>
      </c>
    </row>
    <row r="11" spans="1:19" x14ac:dyDescent="0.2">
      <c r="A11" s="3">
        <v>0.45833333333333298</v>
      </c>
      <c r="B11" s="11" t="s">
        <v>39</v>
      </c>
      <c r="C11" s="11">
        <v>1</v>
      </c>
      <c r="D11" s="11">
        <v>1</v>
      </c>
      <c r="E11" s="11">
        <v>1</v>
      </c>
      <c r="F11" s="11">
        <v>1</v>
      </c>
      <c r="G11" s="11"/>
      <c r="H11" s="11"/>
      <c r="I11" s="11">
        <v>1</v>
      </c>
      <c r="J11" s="11">
        <v>1</v>
      </c>
      <c r="K11" s="11">
        <v>1</v>
      </c>
      <c r="L11" s="11">
        <v>1</v>
      </c>
      <c r="M11" s="11" t="s">
        <v>38</v>
      </c>
      <c r="N11" s="4">
        <v>1</v>
      </c>
      <c r="O11" s="4">
        <v>1</v>
      </c>
    </row>
    <row r="12" spans="1:19" x14ac:dyDescent="0.2">
      <c r="A12" s="3">
        <v>0.47916666666666702</v>
      </c>
      <c r="B12" s="11" t="s">
        <v>39</v>
      </c>
      <c r="C12" s="11">
        <v>1</v>
      </c>
      <c r="D12" s="11">
        <v>1</v>
      </c>
      <c r="E12" s="11">
        <v>1</v>
      </c>
      <c r="F12" s="11">
        <v>1</v>
      </c>
      <c r="G12" s="11"/>
      <c r="H12" s="11"/>
      <c r="I12" s="11">
        <v>1</v>
      </c>
      <c r="J12" s="11">
        <v>1</v>
      </c>
      <c r="K12" s="11">
        <v>1</v>
      </c>
      <c r="L12" s="11">
        <v>1</v>
      </c>
      <c r="M12" s="11">
        <v>1</v>
      </c>
      <c r="N12" s="4">
        <v>1</v>
      </c>
      <c r="O12" s="4">
        <v>1</v>
      </c>
      <c r="Q12" s="18" t="s">
        <v>19</v>
      </c>
      <c r="R12" s="15" t="s">
        <v>17</v>
      </c>
      <c r="S12" s="15" t="s">
        <v>20</v>
      </c>
    </row>
    <row r="13" spans="1:19" x14ac:dyDescent="0.2">
      <c r="A13" s="3">
        <v>0.5</v>
      </c>
      <c r="B13" s="11">
        <v>1</v>
      </c>
      <c r="C13" s="11"/>
      <c r="D13" s="11" t="s">
        <v>36</v>
      </c>
      <c r="E13" s="11">
        <v>1</v>
      </c>
      <c r="F13" s="11">
        <v>1</v>
      </c>
      <c r="G13" s="11"/>
      <c r="H13" s="11"/>
      <c r="I13" s="11"/>
      <c r="J13" s="11" t="s">
        <v>36</v>
      </c>
      <c r="K13" s="11">
        <v>1</v>
      </c>
      <c r="L13" s="11">
        <v>1</v>
      </c>
      <c r="M13" s="11">
        <v>1</v>
      </c>
      <c r="N13" s="4">
        <v>1</v>
      </c>
      <c r="O13" s="4">
        <v>1</v>
      </c>
      <c r="Q13" s="16" t="s">
        <v>37</v>
      </c>
      <c r="R13" s="17">
        <f>(COUNTIF($B$5:$O$22,"*Scrum - Daily*"))/2</f>
        <v>5</v>
      </c>
      <c r="S13" s="19">
        <f t="shared" ref="S13:S19" si="2">R13/$R$19</f>
        <v>6.5789473684210523E-2</v>
      </c>
    </row>
    <row r="14" spans="1:19" x14ac:dyDescent="0.2">
      <c r="A14" s="3">
        <v>0.52083333333333304</v>
      </c>
      <c r="B14" s="11">
        <v>1</v>
      </c>
      <c r="C14" s="11"/>
      <c r="D14" s="11" t="s">
        <v>36</v>
      </c>
      <c r="E14" s="11">
        <v>1</v>
      </c>
      <c r="F14" s="11">
        <v>1</v>
      </c>
      <c r="G14" s="11"/>
      <c r="H14" s="11"/>
      <c r="I14" s="11"/>
      <c r="J14" s="11" t="s">
        <v>36</v>
      </c>
      <c r="K14" s="11"/>
      <c r="L14" s="11">
        <v>1</v>
      </c>
      <c r="M14" s="11">
        <v>1</v>
      </c>
      <c r="N14" s="4">
        <v>1</v>
      </c>
      <c r="O14" s="4">
        <v>1</v>
      </c>
      <c r="Q14" s="16" t="s">
        <v>22</v>
      </c>
      <c r="R14" s="17">
        <f>(COUNTIF($B$5:$O$22,"*Scrum - *"))/2</f>
        <v>10</v>
      </c>
      <c r="S14" s="19">
        <f t="shared" si="2"/>
        <v>0.13157894736842105</v>
      </c>
    </row>
    <row r="15" spans="1:19" x14ac:dyDescent="0.2">
      <c r="A15" s="3">
        <v>0.54166666666666696</v>
      </c>
      <c r="B15" s="11">
        <v>1</v>
      </c>
      <c r="C15" s="11">
        <v>1</v>
      </c>
      <c r="D15" s="11">
        <v>1</v>
      </c>
      <c r="E15" s="11">
        <v>1</v>
      </c>
      <c r="F15" s="11">
        <v>1</v>
      </c>
      <c r="G15" s="11"/>
      <c r="H15" s="11"/>
      <c r="I15" s="11">
        <v>1</v>
      </c>
      <c r="J15" s="11">
        <v>1</v>
      </c>
      <c r="K15" s="11"/>
      <c r="L15" s="11">
        <v>1</v>
      </c>
      <c r="M15" s="11">
        <v>1</v>
      </c>
      <c r="N15" s="4">
        <v>1</v>
      </c>
      <c r="O15" s="4">
        <v>1</v>
      </c>
      <c r="Q15" s="16" t="s">
        <v>42</v>
      </c>
      <c r="R15" s="17">
        <f>COUNTIF($B$5:$O$22,"*Code Review*")/2</f>
        <v>5</v>
      </c>
      <c r="S15" s="19">
        <f t="shared" si="2"/>
        <v>6.5789473684210523E-2</v>
      </c>
    </row>
    <row r="16" spans="1:19" x14ac:dyDescent="0.2">
      <c r="A16" s="3">
        <v>0.5625</v>
      </c>
      <c r="B16" s="11">
        <v>1</v>
      </c>
      <c r="C16" s="11">
        <v>1</v>
      </c>
      <c r="D16" s="11">
        <v>1</v>
      </c>
      <c r="E16" s="11">
        <v>1</v>
      </c>
      <c r="F16" s="11">
        <v>1</v>
      </c>
      <c r="G16" s="11"/>
      <c r="H16" s="11"/>
      <c r="I16" s="11">
        <v>1</v>
      </c>
      <c r="J16" s="11">
        <v>1</v>
      </c>
      <c r="K16" s="11"/>
      <c r="L16" s="11">
        <v>1</v>
      </c>
      <c r="M16" s="11" t="s">
        <v>40</v>
      </c>
      <c r="N16" s="4">
        <v>1</v>
      </c>
      <c r="O16" s="4">
        <v>1</v>
      </c>
      <c r="Q16" s="16" t="s">
        <v>36</v>
      </c>
      <c r="R16" s="17">
        <f>COUNTIF($B$5:$O$22,Q16)/2</f>
        <v>2</v>
      </c>
      <c r="S16" s="19">
        <f t="shared" si="2"/>
        <v>2.6315789473684209E-2</v>
      </c>
    </row>
    <row r="17" spans="1:19" x14ac:dyDescent="0.2">
      <c r="A17" s="3">
        <v>0.58333333333333304</v>
      </c>
      <c r="B17" s="11">
        <v>1</v>
      </c>
      <c r="C17" s="11">
        <v>1</v>
      </c>
      <c r="D17" s="11">
        <v>1</v>
      </c>
      <c r="E17" s="11">
        <v>1</v>
      </c>
      <c r="F17" s="11">
        <v>1</v>
      </c>
      <c r="G17" s="11"/>
      <c r="H17" s="11"/>
      <c r="I17" s="11">
        <v>1</v>
      </c>
      <c r="J17" s="11">
        <v>1</v>
      </c>
      <c r="K17" s="11">
        <v>1</v>
      </c>
      <c r="L17" s="11">
        <v>1</v>
      </c>
      <c r="M17" s="11" t="s">
        <v>40</v>
      </c>
      <c r="N17" s="4">
        <v>1</v>
      </c>
      <c r="O17" s="4">
        <v>1</v>
      </c>
      <c r="Q17" s="16" t="s">
        <v>5</v>
      </c>
      <c r="R17" s="17">
        <f>R6</f>
        <v>61</v>
      </c>
      <c r="S17" s="19">
        <f t="shared" si="2"/>
        <v>0.80263157894736847</v>
      </c>
    </row>
    <row r="18" spans="1:19" x14ac:dyDescent="0.2">
      <c r="A18" s="3">
        <v>0.60416666666666696</v>
      </c>
      <c r="B18" s="11">
        <v>1</v>
      </c>
      <c r="C18" s="11">
        <v>1</v>
      </c>
      <c r="D18" s="11">
        <v>1</v>
      </c>
      <c r="E18" s="11">
        <v>1</v>
      </c>
      <c r="F18" s="11">
        <v>1</v>
      </c>
      <c r="G18" s="11"/>
      <c r="H18" s="11"/>
      <c r="I18" s="11">
        <v>1</v>
      </c>
      <c r="J18" s="11">
        <v>1</v>
      </c>
      <c r="K18" s="11">
        <v>1</v>
      </c>
      <c r="L18" s="11">
        <v>1</v>
      </c>
      <c r="M18" s="11">
        <v>1</v>
      </c>
      <c r="N18" s="4">
        <v>1</v>
      </c>
      <c r="O18" s="4">
        <v>1</v>
      </c>
      <c r="Q18" s="16" t="s">
        <v>7</v>
      </c>
      <c r="R18" s="17">
        <f>R8</f>
        <v>45.75</v>
      </c>
      <c r="S18" s="19">
        <f t="shared" si="2"/>
        <v>0.60197368421052633</v>
      </c>
    </row>
    <row r="19" spans="1:19" x14ac:dyDescent="0.2">
      <c r="A19" s="3">
        <v>0.625</v>
      </c>
      <c r="B19" s="11">
        <v>1</v>
      </c>
      <c r="C19" s="11">
        <v>1</v>
      </c>
      <c r="D19" s="11">
        <v>1</v>
      </c>
      <c r="E19" s="11">
        <v>1</v>
      </c>
      <c r="F19" s="11">
        <v>1</v>
      </c>
      <c r="G19" s="11"/>
      <c r="H19" s="11"/>
      <c r="I19" s="11">
        <v>1</v>
      </c>
      <c r="J19" s="11">
        <v>1</v>
      </c>
      <c r="K19" s="11">
        <v>1</v>
      </c>
      <c r="L19" s="11">
        <v>1</v>
      </c>
      <c r="M19" s="11">
        <v>1</v>
      </c>
      <c r="N19" s="4">
        <v>1</v>
      </c>
      <c r="O19" s="4">
        <v>1</v>
      </c>
      <c r="Q19" s="16" t="s">
        <v>4</v>
      </c>
      <c r="R19" s="17">
        <f>R5</f>
        <v>76</v>
      </c>
      <c r="S19" s="19">
        <f t="shared" si="2"/>
        <v>1</v>
      </c>
    </row>
    <row r="20" spans="1:19" x14ac:dyDescent="0.2">
      <c r="A20" s="3">
        <v>0.64583333333333404</v>
      </c>
      <c r="B20" s="11">
        <v>1</v>
      </c>
      <c r="C20" s="11">
        <v>1</v>
      </c>
      <c r="D20" s="11">
        <v>1</v>
      </c>
      <c r="E20" s="11">
        <v>1</v>
      </c>
      <c r="F20" s="11">
        <v>1</v>
      </c>
      <c r="G20" s="11"/>
      <c r="H20" s="11"/>
      <c r="I20" s="11">
        <v>1</v>
      </c>
      <c r="J20" s="11">
        <v>1</v>
      </c>
      <c r="K20" s="11">
        <v>1</v>
      </c>
      <c r="L20" s="11">
        <v>1</v>
      </c>
      <c r="M20" s="11">
        <v>1</v>
      </c>
      <c r="N20" s="4">
        <v>1</v>
      </c>
      <c r="O20" s="4">
        <v>1</v>
      </c>
      <c r="S20" s="20"/>
    </row>
    <row r="21" spans="1:19" x14ac:dyDescent="0.2">
      <c r="A21" s="5">
        <v>0.66666666666666696</v>
      </c>
      <c r="B21" s="11">
        <v>1</v>
      </c>
      <c r="C21" s="11">
        <v>1</v>
      </c>
      <c r="D21" s="11">
        <v>1</v>
      </c>
      <c r="E21" s="11">
        <v>1</v>
      </c>
      <c r="F21" s="11">
        <v>1</v>
      </c>
      <c r="G21" s="11"/>
      <c r="H21" s="11"/>
      <c r="I21" s="11">
        <v>1</v>
      </c>
      <c r="J21" s="11">
        <v>1</v>
      </c>
      <c r="K21" s="11">
        <v>1</v>
      </c>
      <c r="L21" s="11">
        <v>1</v>
      </c>
      <c r="M21" s="11">
        <v>1</v>
      </c>
      <c r="N21" s="6">
        <v>1</v>
      </c>
      <c r="O21" s="6">
        <v>1</v>
      </c>
    </row>
    <row r="22" spans="1:19" ht="16" thickBot="1" x14ac:dyDescent="0.25">
      <c r="A22" s="5">
        <v>0.6875</v>
      </c>
      <c r="B22" s="6"/>
      <c r="C22" s="11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9" ht="16" thickTop="1" x14ac:dyDescent="0.2">
      <c r="A23" s="7" t="s">
        <v>27</v>
      </c>
      <c r="B23" s="7">
        <f>SUM(B5:B22)/2</f>
        <v>6</v>
      </c>
      <c r="C23" s="7">
        <f t="shared" ref="C23:O23" si="3">SUM(C5:C22)/2</f>
        <v>6</v>
      </c>
      <c r="D23" s="7">
        <f t="shared" si="3"/>
        <v>6</v>
      </c>
      <c r="E23" s="7">
        <f t="shared" si="3"/>
        <v>6.5</v>
      </c>
      <c r="F23" s="7">
        <f t="shared" si="3"/>
        <v>7</v>
      </c>
      <c r="G23" s="7">
        <f t="shared" si="3"/>
        <v>0</v>
      </c>
      <c r="H23" s="7">
        <f t="shared" si="3"/>
        <v>0</v>
      </c>
      <c r="I23" s="7">
        <f t="shared" si="3"/>
        <v>6</v>
      </c>
      <c r="J23" s="7">
        <f t="shared" si="3"/>
        <v>6</v>
      </c>
      <c r="K23" s="7">
        <f t="shared" si="3"/>
        <v>5.5</v>
      </c>
      <c r="L23" s="7">
        <f t="shared" si="3"/>
        <v>7</v>
      </c>
      <c r="M23" s="7">
        <f t="shared" si="3"/>
        <v>5</v>
      </c>
      <c r="N23" s="7">
        <f t="shared" si="3"/>
        <v>8</v>
      </c>
      <c r="O23" s="7">
        <f t="shared" si="3"/>
        <v>8</v>
      </c>
    </row>
  </sheetData>
  <mergeCells count="2">
    <mergeCell ref="A1:O1"/>
    <mergeCell ref="Q3:R4"/>
  </mergeCells>
  <conditionalFormatting sqref="B8:F8">
    <cfRule type="cellIs" dxfId="24" priority="2" operator="equal">
      <formula>1</formula>
    </cfRule>
  </conditionalFormatting>
  <conditionalFormatting sqref="B5:O22">
    <cfRule type="cellIs" dxfId="23" priority="4" operator="equal">
      <formula>1</formula>
    </cfRule>
  </conditionalFormatting>
  <conditionalFormatting sqref="I6:L6">
    <cfRule type="cellIs" dxfId="22" priority="13" operator="equal">
      <formula>1</formula>
    </cfRule>
  </conditionalFormatting>
  <conditionalFormatting sqref="I8:M8">
    <cfRule type="cellIs" dxfId="21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BE532E-C7CC-42EF-A478-E00D9D0DB75F}">
          <x14:formula1>
            <xm:f>Glossary!$B$2:$B$10</xm:f>
          </x14:formula1>
          <xm:sqref>B5:O22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C5BB-FCA2-4D7F-9D91-4B66E2EA8ADD}">
  <dimension ref="A1:S23"/>
  <sheetViews>
    <sheetView showGridLines="0" zoomScale="80" zoomScaleNormal="80" workbookViewId="0">
      <selection activeCell="R7" sqref="R7"/>
    </sheetView>
  </sheetViews>
  <sheetFormatPr baseColWidth="10" defaultColWidth="8.83203125" defaultRowHeight="15" x14ac:dyDescent="0.2"/>
  <cols>
    <col min="1" max="1" width="11.6640625" customWidth="1"/>
    <col min="2" max="6" width="16.83203125" style="1" customWidth="1"/>
    <col min="7" max="8" width="16.83203125" style="1" hidden="1" customWidth="1"/>
    <col min="9" max="13" width="16.83203125" customWidth="1"/>
    <col min="14" max="15" width="17.1640625" hidden="1" customWidth="1"/>
    <col min="16" max="16" width="6.1640625" customWidth="1"/>
    <col min="17" max="17" width="19.33203125" customWidth="1"/>
    <col min="18" max="18" width="13.5" customWidth="1"/>
    <col min="19" max="19" width="12.5" customWidth="1"/>
  </cols>
  <sheetData>
    <row r="1" spans="1:19" x14ac:dyDescent="0.2">
      <c r="A1" s="56" t="str">
        <f>_xlfn.XLOOKUP(Summary!$C$2,Glossary!E:E,Glossary!I:I)</f>
        <v>SPRINT 1 (24.11 - 07.12)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1:19" ht="6" customHeight="1" x14ac:dyDescent="0.2"/>
    <row r="3" spans="1:19" x14ac:dyDescent="0.2">
      <c r="A3" s="9" t="s">
        <v>16</v>
      </c>
      <c r="B3" s="12">
        <f>_xlfn.XLOOKUP(Summary!$C$2,Glossary!E:E,Glossary!F:F)</f>
        <v>45985</v>
      </c>
      <c r="C3" s="12">
        <f>B3+1</f>
        <v>45986</v>
      </c>
      <c r="D3" s="12">
        <f>C3+1</f>
        <v>45987</v>
      </c>
      <c r="E3" s="12">
        <f t="shared" ref="E3:O3" si="0">D3+1</f>
        <v>45988</v>
      </c>
      <c r="F3" s="12">
        <f t="shared" si="0"/>
        <v>45989</v>
      </c>
      <c r="G3" s="12">
        <f t="shared" si="0"/>
        <v>45990</v>
      </c>
      <c r="H3" s="12">
        <f t="shared" si="0"/>
        <v>45991</v>
      </c>
      <c r="I3" s="12">
        <f t="shared" si="0"/>
        <v>45992</v>
      </c>
      <c r="J3" s="12">
        <f t="shared" si="0"/>
        <v>45993</v>
      </c>
      <c r="K3" s="12">
        <f t="shared" si="0"/>
        <v>45994</v>
      </c>
      <c r="L3" s="12">
        <f t="shared" si="0"/>
        <v>45995</v>
      </c>
      <c r="M3" s="12">
        <f t="shared" si="0"/>
        <v>45996</v>
      </c>
      <c r="N3" s="12">
        <f t="shared" si="0"/>
        <v>45997</v>
      </c>
      <c r="O3" s="12">
        <f t="shared" si="0"/>
        <v>45998</v>
      </c>
      <c r="Q3" s="57" t="str">
        <f>"Summary - "&amp;A1</f>
        <v>Summary - SPRINT 1 (24.11 - 07.12)</v>
      </c>
      <c r="R3" s="58"/>
    </row>
    <row r="4" spans="1:19" x14ac:dyDescent="0.2">
      <c r="A4" s="10" t="s">
        <v>17</v>
      </c>
      <c r="B4" s="13" t="str">
        <f>TEXT(B3,"[$-409]DDDD")</f>
        <v>Monday</v>
      </c>
      <c r="C4" s="13" t="str">
        <f t="shared" ref="C4:O4" si="1">TEXT(C3,"[$-409]DDDD")</f>
        <v>Tuesday</v>
      </c>
      <c r="D4" s="13" t="str">
        <f t="shared" si="1"/>
        <v>Wednesday</v>
      </c>
      <c r="E4" s="13" t="str">
        <f t="shared" si="1"/>
        <v>Thursday</v>
      </c>
      <c r="F4" s="13" t="str">
        <f t="shared" si="1"/>
        <v>Friday</v>
      </c>
      <c r="G4" s="13" t="str">
        <f t="shared" si="1"/>
        <v>Saturday</v>
      </c>
      <c r="H4" s="13" t="str">
        <f t="shared" si="1"/>
        <v>Sunday</v>
      </c>
      <c r="I4" s="13" t="str">
        <f t="shared" si="1"/>
        <v>Monday</v>
      </c>
      <c r="J4" s="13" t="str">
        <f t="shared" si="1"/>
        <v>Tuesday</v>
      </c>
      <c r="K4" s="13" t="str">
        <f t="shared" si="1"/>
        <v>Wednesday</v>
      </c>
      <c r="L4" s="13" t="str">
        <f t="shared" si="1"/>
        <v>Thursday</v>
      </c>
      <c r="M4" s="13" t="str">
        <f t="shared" si="1"/>
        <v>Friday</v>
      </c>
      <c r="N4" s="13" t="str">
        <f t="shared" si="1"/>
        <v>Saturday</v>
      </c>
      <c r="O4" s="13" t="str">
        <f t="shared" si="1"/>
        <v>Sunday</v>
      </c>
      <c r="Q4" s="59"/>
      <c r="R4" s="60"/>
    </row>
    <row r="5" spans="1:19" x14ac:dyDescent="0.2">
      <c r="A5" s="8">
        <v>0.33333333333333331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>
        <v>1</v>
      </c>
      <c r="O5" s="11">
        <v>1</v>
      </c>
      <c r="Q5" s="2" t="s">
        <v>4</v>
      </c>
      <c r="R5" s="2">
        <f>COUNTA(B5:M21)/2</f>
        <v>29</v>
      </c>
    </row>
    <row r="6" spans="1:19" x14ac:dyDescent="0.2">
      <c r="A6" s="3">
        <v>0.35416666666666669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4">
        <v>1</v>
      </c>
      <c r="O6" s="4">
        <v>1</v>
      </c>
      <c r="Q6" s="2" t="s">
        <v>5</v>
      </c>
      <c r="R6" s="2">
        <f>SUM(B23:M23)</f>
        <v>21</v>
      </c>
    </row>
    <row r="7" spans="1:19" x14ac:dyDescent="0.2">
      <c r="A7" s="3">
        <v>0.375</v>
      </c>
      <c r="B7" s="11">
        <v>1</v>
      </c>
      <c r="C7" s="11">
        <v>1</v>
      </c>
      <c r="D7" s="11">
        <v>1</v>
      </c>
      <c r="E7" s="11">
        <v>1</v>
      </c>
      <c r="F7" s="11">
        <v>1</v>
      </c>
      <c r="G7" s="11"/>
      <c r="H7" s="11"/>
      <c r="I7" s="11">
        <v>1</v>
      </c>
      <c r="J7" s="11">
        <v>1</v>
      </c>
      <c r="K7" s="11">
        <v>1</v>
      </c>
      <c r="L7" s="11">
        <v>1</v>
      </c>
      <c r="M7" s="11">
        <v>1</v>
      </c>
      <c r="N7" s="4">
        <v>1</v>
      </c>
      <c r="O7" s="4">
        <v>1</v>
      </c>
      <c r="Q7" s="2" t="s">
        <v>6</v>
      </c>
      <c r="R7" s="14">
        <v>0.55000000000000004</v>
      </c>
    </row>
    <row r="8" spans="1:19" x14ac:dyDescent="0.2">
      <c r="A8" s="3">
        <v>0.39583333333333298</v>
      </c>
      <c r="B8" s="11" t="s">
        <v>18</v>
      </c>
      <c r="C8" s="11" t="s">
        <v>18</v>
      </c>
      <c r="D8" s="11" t="s">
        <v>18</v>
      </c>
      <c r="E8" s="11" t="s">
        <v>18</v>
      </c>
      <c r="F8" s="11" t="s">
        <v>18</v>
      </c>
      <c r="G8" s="11"/>
      <c r="H8" s="11"/>
      <c r="I8" s="11" t="s">
        <v>18</v>
      </c>
      <c r="J8" s="11" t="s">
        <v>18</v>
      </c>
      <c r="K8" s="11" t="s">
        <v>18</v>
      </c>
      <c r="L8" s="11" t="s">
        <v>18</v>
      </c>
      <c r="M8" s="11" t="s">
        <v>18</v>
      </c>
      <c r="N8" s="4">
        <v>1</v>
      </c>
      <c r="O8" s="4">
        <v>1</v>
      </c>
      <c r="Q8" s="2" t="s">
        <v>7</v>
      </c>
      <c r="R8" s="2">
        <f>R6*R7</f>
        <v>11.55</v>
      </c>
    </row>
    <row r="9" spans="1:19" x14ac:dyDescent="0.2">
      <c r="A9" s="3">
        <v>0.41666666666666702</v>
      </c>
      <c r="B9" s="11">
        <v>1</v>
      </c>
      <c r="C9" s="11">
        <v>1</v>
      </c>
      <c r="D9" s="11">
        <v>1</v>
      </c>
      <c r="E9" s="11">
        <v>1</v>
      </c>
      <c r="F9" s="11">
        <v>1</v>
      </c>
      <c r="G9" s="11"/>
      <c r="H9" s="11"/>
      <c r="I9" s="11">
        <v>1</v>
      </c>
      <c r="J9" s="11">
        <v>1</v>
      </c>
      <c r="K9" s="11">
        <v>1</v>
      </c>
      <c r="L9" s="11">
        <v>1</v>
      </c>
      <c r="M9" s="11">
        <v>1</v>
      </c>
      <c r="N9" s="4" t="s">
        <v>18</v>
      </c>
      <c r="O9" s="4" t="s">
        <v>18</v>
      </c>
      <c r="Q9" s="2" t="s">
        <v>8</v>
      </c>
      <c r="R9" s="2"/>
    </row>
    <row r="10" spans="1:19" x14ac:dyDescent="0.2">
      <c r="A10" s="3">
        <v>0.4375</v>
      </c>
      <c r="B10" s="11">
        <v>1</v>
      </c>
      <c r="C10" s="11">
        <v>1</v>
      </c>
      <c r="D10" s="11">
        <v>1</v>
      </c>
      <c r="E10" s="11">
        <v>1</v>
      </c>
      <c r="F10" s="11">
        <v>1</v>
      </c>
      <c r="G10" s="11"/>
      <c r="H10" s="11"/>
      <c r="I10" s="11">
        <v>1</v>
      </c>
      <c r="J10" s="11">
        <v>1</v>
      </c>
      <c r="K10" s="11">
        <v>1</v>
      </c>
      <c r="L10" s="11">
        <v>1</v>
      </c>
      <c r="M10" s="11">
        <v>1</v>
      </c>
      <c r="N10" s="4">
        <v>1</v>
      </c>
      <c r="O10" s="4">
        <v>1</v>
      </c>
      <c r="Q10" s="2" t="s">
        <v>9</v>
      </c>
      <c r="R10" s="2">
        <f>R8-R9</f>
        <v>11.55</v>
      </c>
    </row>
    <row r="11" spans="1:19" x14ac:dyDescent="0.2">
      <c r="A11" s="3">
        <v>0.45833333333333298</v>
      </c>
      <c r="B11" s="11" t="s">
        <v>28</v>
      </c>
      <c r="C11" s="11">
        <v>1</v>
      </c>
      <c r="D11" s="11">
        <v>1</v>
      </c>
      <c r="E11" s="11">
        <v>1</v>
      </c>
      <c r="F11" s="11">
        <v>1</v>
      </c>
      <c r="G11" s="11"/>
      <c r="H11" s="11"/>
      <c r="I11" s="11">
        <v>1</v>
      </c>
      <c r="J11" s="11">
        <v>1</v>
      </c>
      <c r="K11" s="11">
        <v>1</v>
      </c>
      <c r="L11" s="11">
        <v>1</v>
      </c>
      <c r="M11" s="11">
        <v>1</v>
      </c>
      <c r="N11" s="4">
        <v>1</v>
      </c>
      <c r="O11" s="4">
        <v>1</v>
      </c>
    </row>
    <row r="12" spans="1:19" x14ac:dyDescent="0.2">
      <c r="A12" s="3">
        <v>0.47916666666666702</v>
      </c>
      <c r="B12" s="11" t="s">
        <v>28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4">
        <v>1</v>
      </c>
      <c r="O12" s="4">
        <v>1</v>
      </c>
      <c r="Q12" s="18" t="s">
        <v>19</v>
      </c>
      <c r="R12" s="15" t="s">
        <v>17</v>
      </c>
      <c r="S12" s="15" t="s">
        <v>20</v>
      </c>
    </row>
    <row r="13" spans="1:19" x14ac:dyDescent="0.2">
      <c r="A13" s="3">
        <v>0.5</v>
      </c>
      <c r="B13" s="11">
        <v>1</v>
      </c>
      <c r="C13" s="11"/>
      <c r="D13" s="11" t="s">
        <v>29</v>
      </c>
      <c r="E13" s="11"/>
      <c r="F13" s="11"/>
      <c r="G13" s="11"/>
      <c r="H13" s="11"/>
      <c r="I13" s="11"/>
      <c r="J13" s="11"/>
      <c r="K13" s="11"/>
      <c r="L13" s="11"/>
      <c r="M13" s="11"/>
      <c r="N13" s="4">
        <v>1</v>
      </c>
      <c r="O13" s="4">
        <v>1</v>
      </c>
      <c r="Q13" s="16" t="s">
        <v>21</v>
      </c>
      <c r="R13" s="17">
        <f>COUNTIF($B$5:$O$22,"*Daily*")/2</f>
        <v>6</v>
      </c>
      <c r="S13" s="19">
        <f>R13/$R$21</f>
        <v>0.20689655172413793</v>
      </c>
    </row>
    <row r="14" spans="1:19" x14ac:dyDescent="0.2">
      <c r="A14" s="3">
        <v>0.52083333333333304</v>
      </c>
      <c r="B14" s="11">
        <v>1</v>
      </c>
      <c r="C14" s="11"/>
      <c r="D14" s="11" t="s">
        <v>29</v>
      </c>
      <c r="E14" s="11"/>
      <c r="F14" s="11"/>
      <c r="G14" s="11"/>
      <c r="H14" s="11"/>
      <c r="I14" s="11"/>
      <c r="J14" s="11"/>
      <c r="K14" s="11"/>
      <c r="L14" s="11"/>
      <c r="M14" s="11"/>
      <c r="N14" s="4">
        <v>1</v>
      </c>
      <c r="O14" s="4">
        <v>1</v>
      </c>
      <c r="Q14" s="16" t="s">
        <v>22</v>
      </c>
      <c r="R14" s="17">
        <f>COUNTIF($B$5:$O$22,"*Scrum*")/2</f>
        <v>8</v>
      </c>
      <c r="S14" s="19">
        <f t="shared" ref="S14:S21" si="2">R14/$R$21</f>
        <v>0.27586206896551724</v>
      </c>
    </row>
    <row r="15" spans="1:19" x14ac:dyDescent="0.2">
      <c r="A15" s="3">
        <v>0.54166666666666696</v>
      </c>
      <c r="B15" s="11">
        <v>1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4">
        <v>1</v>
      </c>
      <c r="O15" s="4">
        <v>1</v>
      </c>
      <c r="Q15" s="16" t="s">
        <v>23</v>
      </c>
      <c r="R15" s="17">
        <f>COUNTIF($B$5:$O$22,"*CR*")/2</f>
        <v>8</v>
      </c>
      <c r="S15" s="19">
        <f t="shared" si="2"/>
        <v>0.27586206896551724</v>
      </c>
    </row>
    <row r="16" spans="1:19" x14ac:dyDescent="0.2">
      <c r="A16" s="3">
        <v>0.5625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 t="s">
        <v>30</v>
      </c>
      <c r="N16" s="4">
        <v>1</v>
      </c>
      <c r="O16" s="4">
        <v>1</v>
      </c>
      <c r="Q16" s="16" t="s">
        <v>24</v>
      </c>
      <c r="R16" s="17">
        <f>COUNTIF($B$5:$O$22,Q16)/2</f>
        <v>0</v>
      </c>
      <c r="S16" s="19">
        <f t="shared" si="2"/>
        <v>0</v>
      </c>
    </row>
    <row r="17" spans="1:19" x14ac:dyDescent="0.2">
      <c r="A17" s="3">
        <v>0.58333333333333304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 t="s">
        <v>30</v>
      </c>
      <c r="N17" s="4">
        <v>1</v>
      </c>
      <c r="O17" s="4">
        <v>1</v>
      </c>
      <c r="Q17" s="16" t="s">
        <v>25</v>
      </c>
      <c r="R17" s="17">
        <f>COUNTIF($B$5:$O$22,Q17)/2</f>
        <v>0</v>
      </c>
      <c r="S17" s="19">
        <f t="shared" si="2"/>
        <v>0</v>
      </c>
    </row>
    <row r="18" spans="1:19" x14ac:dyDescent="0.2">
      <c r="A18" s="3">
        <v>0.60416666666666696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4">
        <v>1</v>
      </c>
      <c r="O18" s="4">
        <v>1</v>
      </c>
      <c r="Q18" s="16" t="s">
        <v>26</v>
      </c>
      <c r="R18" s="17">
        <f>COUNTIF($B$5:$O$22,Q18)</f>
        <v>0</v>
      </c>
      <c r="S18" s="19">
        <f t="shared" si="2"/>
        <v>0</v>
      </c>
    </row>
    <row r="19" spans="1:19" x14ac:dyDescent="0.2">
      <c r="A19" s="3">
        <v>0.625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4">
        <v>1</v>
      </c>
      <c r="O19" s="4">
        <v>1</v>
      </c>
      <c r="Q19" s="16" t="s">
        <v>5</v>
      </c>
      <c r="R19" s="17">
        <f>R6</f>
        <v>21</v>
      </c>
      <c r="S19" s="19">
        <f>R19/$R$21</f>
        <v>0.72413793103448276</v>
      </c>
    </row>
    <row r="20" spans="1:19" x14ac:dyDescent="0.2">
      <c r="A20" s="3">
        <v>0.64583333333333404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4">
        <v>1</v>
      </c>
      <c r="O20" s="4">
        <v>1</v>
      </c>
      <c r="Q20" s="16" t="s">
        <v>7</v>
      </c>
      <c r="R20" s="17">
        <f>R8</f>
        <v>11.55</v>
      </c>
      <c r="S20" s="19">
        <f t="shared" si="2"/>
        <v>0.39827586206896554</v>
      </c>
    </row>
    <row r="21" spans="1:19" x14ac:dyDescent="0.2">
      <c r="A21" s="5">
        <v>0.66666666666666696</v>
      </c>
      <c r="B21" s="11"/>
      <c r="C21" s="11"/>
      <c r="D21" s="11"/>
      <c r="E21" s="6"/>
      <c r="F21" s="11"/>
      <c r="G21" s="11"/>
      <c r="H21" s="11"/>
      <c r="I21" s="11"/>
      <c r="J21" s="11"/>
      <c r="K21" s="11"/>
      <c r="L21" s="11"/>
      <c r="M21" s="11"/>
      <c r="N21" s="6">
        <v>1</v>
      </c>
      <c r="O21" s="6">
        <v>1</v>
      </c>
      <c r="Q21" s="16" t="s">
        <v>4</v>
      </c>
      <c r="R21" s="17">
        <f>R5</f>
        <v>29</v>
      </c>
      <c r="S21" s="19">
        <f t="shared" si="2"/>
        <v>1</v>
      </c>
    </row>
    <row r="22" spans="1:19" x14ac:dyDescent="0.2">
      <c r="A22" s="5">
        <v>0.6875</v>
      </c>
      <c r="B22" s="6"/>
      <c r="C22" s="11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S22" s="20"/>
    </row>
    <row r="23" spans="1:19" x14ac:dyDescent="0.2">
      <c r="A23" s="7" t="s">
        <v>27</v>
      </c>
      <c r="B23" s="7">
        <f>SUM(B5:B22)/2</f>
        <v>3</v>
      </c>
      <c r="C23" s="7">
        <f t="shared" ref="C23:O23" si="3">SUM(C5:C22)/2</f>
        <v>2</v>
      </c>
      <c r="D23" s="7">
        <f t="shared" si="3"/>
        <v>2</v>
      </c>
      <c r="E23" s="7">
        <f t="shared" si="3"/>
        <v>2</v>
      </c>
      <c r="F23" s="7">
        <f t="shared" si="3"/>
        <v>2</v>
      </c>
      <c r="G23" s="7">
        <f t="shared" si="3"/>
        <v>0</v>
      </c>
      <c r="H23" s="7">
        <f t="shared" si="3"/>
        <v>0</v>
      </c>
      <c r="I23" s="7">
        <f t="shared" si="3"/>
        <v>2</v>
      </c>
      <c r="J23" s="7">
        <f t="shared" si="3"/>
        <v>2</v>
      </c>
      <c r="K23" s="7">
        <f t="shared" si="3"/>
        <v>2</v>
      </c>
      <c r="L23" s="7">
        <f t="shared" si="3"/>
        <v>2</v>
      </c>
      <c r="M23" s="7">
        <f t="shared" si="3"/>
        <v>2</v>
      </c>
      <c r="N23" s="7">
        <f t="shared" si="3"/>
        <v>8</v>
      </c>
      <c r="O23" s="7">
        <f t="shared" si="3"/>
        <v>8</v>
      </c>
    </row>
  </sheetData>
  <mergeCells count="2">
    <mergeCell ref="A1:O1"/>
    <mergeCell ref="Q3:R4"/>
  </mergeCells>
  <conditionalFormatting sqref="B6:E18">
    <cfRule type="cellIs" dxfId="20" priority="4" operator="equal">
      <formula>1</formula>
    </cfRule>
  </conditionalFormatting>
  <conditionalFormatting sqref="B8:F8">
    <cfRule type="cellIs" dxfId="19" priority="2" operator="equal">
      <formula>1</formula>
    </cfRule>
  </conditionalFormatting>
  <conditionalFormatting sqref="B5:O5 N6:O21 B22:O22">
    <cfRule type="cellIs" dxfId="18" priority="26" operator="equal">
      <formula>1</formula>
    </cfRule>
  </conditionalFormatting>
  <conditionalFormatting sqref="F6:M9 F10:H18 I10:M21 B19:H21">
    <cfRule type="cellIs" dxfId="17" priority="8" operator="equal">
      <formula>1</formula>
    </cfRule>
  </conditionalFormatting>
  <conditionalFormatting sqref="I6:L6">
    <cfRule type="cellIs" dxfId="16" priority="9" operator="equal">
      <formula>1</formula>
    </cfRule>
  </conditionalFormatting>
  <conditionalFormatting sqref="I8:M8">
    <cfRule type="cellIs" dxfId="15" priority="1" operator="equal">
      <formula>1</formula>
    </cfRule>
  </conditionalFormatting>
  <pageMargins left="0.7" right="0.7" top="0.75" bottom="0.75" header="0.3" footer="0.3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96B044-3089-46B3-97AF-42107D4E0304}">
          <x14:formula1>
            <xm:f>Glossary!$B$2:$B$10</xm:f>
          </x14:formula1>
          <xm:sqref>B5:O22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7ADB4-8D7B-4F21-97CC-8D06447E894E}">
  <dimension ref="A1:S23"/>
  <sheetViews>
    <sheetView showGridLines="0" zoomScale="80" zoomScaleNormal="80" workbookViewId="0">
      <selection activeCell="E18" sqref="E18"/>
    </sheetView>
  </sheetViews>
  <sheetFormatPr baseColWidth="10" defaultColWidth="8.83203125" defaultRowHeight="15" x14ac:dyDescent="0.2"/>
  <cols>
    <col min="1" max="1" width="11.6640625" customWidth="1"/>
    <col min="2" max="6" width="16.83203125" style="1" customWidth="1"/>
    <col min="7" max="8" width="16.83203125" style="1" hidden="1" customWidth="1"/>
    <col min="9" max="13" width="16.83203125" customWidth="1"/>
    <col min="14" max="15" width="17.1640625" hidden="1" customWidth="1"/>
    <col min="16" max="16" width="6.1640625" customWidth="1"/>
    <col min="17" max="17" width="19.33203125" customWidth="1"/>
    <col min="18" max="18" width="13.5" customWidth="1"/>
    <col min="19" max="19" width="12.5" customWidth="1"/>
  </cols>
  <sheetData>
    <row r="1" spans="1:19" x14ac:dyDescent="0.2">
      <c r="A1" s="56" t="str">
        <f>_xlfn.XLOOKUP(Summary!$C$2,Glossary!E:E,Glossary!I:I)</f>
        <v>SPRINT 1 (24.11 - 07.12)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1:19" ht="6" customHeight="1" x14ac:dyDescent="0.2"/>
    <row r="3" spans="1:19" x14ac:dyDescent="0.2">
      <c r="A3" s="9" t="s">
        <v>16</v>
      </c>
      <c r="B3" s="12">
        <f>_xlfn.XLOOKUP(Summary!$C$2,Glossary!E:E,Glossary!F:F)</f>
        <v>45985</v>
      </c>
      <c r="C3" s="12">
        <f>B3+1</f>
        <v>45986</v>
      </c>
      <c r="D3" s="12">
        <f>C3+1</f>
        <v>45987</v>
      </c>
      <c r="E3" s="12">
        <f t="shared" ref="E3:O3" si="0">D3+1</f>
        <v>45988</v>
      </c>
      <c r="F3" s="12">
        <f t="shared" si="0"/>
        <v>45989</v>
      </c>
      <c r="G3" s="12">
        <f t="shared" si="0"/>
        <v>45990</v>
      </c>
      <c r="H3" s="12">
        <f t="shared" si="0"/>
        <v>45991</v>
      </c>
      <c r="I3" s="12">
        <f t="shared" si="0"/>
        <v>45992</v>
      </c>
      <c r="J3" s="12">
        <f t="shared" si="0"/>
        <v>45993</v>
      </c>
      <c r="K3" s="12">
        <f t="shared" si="0"/>
        <v>45994</v>
      </c>
      <c r="L3" s="12">
        <f t="shared" si="0"/>
        <v>45995</v>
      </c>
      <c r="M3" s="12">
        <f t="shared" si="0"/>
        <v>45996</v>
      </c>
      <c r="N3" s="12">
        <f t="shared" si="0"/>
        <v>45997</v>
      </c>
      <c r="O3" s="12">
        <f t="shared" si="0"/>
        <v>45998</v>
      </c>
      <c r="Q3" s="57" t="str">
        <f>"Summary - "&amp;A1</f>
        <v>Summary - SPRINT 1 (24.11 - 07.12)</v>
      </c>
      <c r="R3" s="58"/>
    </row>
    <row r="4" spans="1:19" x14ac:dyDescent="0.2">
      <c r="A4" s="10" t="s">
        <v>17</v>
      </c>
      <c r="B4" s="13" t="str">
        <f>TEXT(B3,"[$-409]DDDD")</f>
        <v>Monday</v>
      </c>
      <c r="C4" s="13" t="str">
        <f t="shared" ref="C4:O4" si="1">TEXT(C3,"[$-409]DDDD")</f>
        <v>Tuesday</v>
      </c>
      <c r="D4" s="13" t="str">
        <f t="shared" si="1"/>
        <v>Wednesday</v>
      </c>
      <c r="E4" s="13" t="str">
        <f t="shared" si="1"/>
        <v>Thursday</v>
      </c>
      <c r="F4" s="13" t="str">
        <f t="shared" si="1"/>
        <v>Friday</v>
      </c>
      <c r="G4" s="13" t="str">
        <f t="shared" si="1"/>
        <v>Saturday</v>
      </c>
      <c r="H4" s="13" t="str">
        <f t="shared" si="1"/>
        <v>Sunday</v>
      </c>
      <c r="I4" s="13" t="str">
        <f t="shared" si="1"/>
        <v>Monday</v>
      </c>
      <c r="J4" s="13" t="str">
        <f t="shared" si="1"/>
        <v>Tuesday</v>
      </c>
      <c r="K4" s="13" t="str">
        <f t="shared" si="1"/>
        <v>Wednesday</v>
      </c>
      <c r="L4" s="13" t="str">
        <f t="shared" si="1"/>
        <v>Thursday</v>
      </c>
      <c r="M4" s="13" t="str">
        <f t="shared" si="1"/>
        <v>Friday</v>
      </c>
      <c r="N4" s="13" t="str">
        <f t="shared" si="1"/>
        <v>Saturday</v>
      </c>
      <c r="O4" s="13" t="str">
        <f t="shared" si="1"/>
        <v>Sunday</v>
      </c>
      <c r="Q4" s="59"/>
      <c r="R4" s="60"/>
    </row>
    <row r="5" spans="1:19" x14ac:dyDescent="0.2">
      <c r="A5" s="8">
        <v>0.33333333333333331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>
        <v>1</v>
      </c>
      <c r="O5" s="11">
        <v>1</v>
      </c>
      <c r="Q5" s="2" t="s">
        <v>4</v>
      </c>
      <c r="R5" s="2">
        <f>COUNTA(B5:M21)/2</f>
        <v>45</v>
      </c>
    </row>
    <row r="6" spans="1:19" x14ac:dyDescent="0.2">
      <c r="A6" s="3">
        <v>0.35416666666666669</v>
      </c>
      <c r="B6" s="11">
        <v>1</v>
      </c>
      <c r="C6" s="11">
        <v>1</v>
      </c>
      <c r="D6" s="11">
        <v>1</v>
      </c>
      <c r="E6" s="11">
        <v>1</v>
      </c>
      <c r="F6" s="11">
        <v>1</v>
      </c>
      <c r="G6" s="11"/>
      <c r="H6" s="11"/>
      <c r="I6" s="11">
        <v>1</v>
      </c>
      <c r="J6" s="11">
        <v>1</v>
      </c>
      <c r="K6" s="11">
        <v>1</v>
      </c>
      <c r="L6" s="11">
        <v>1</v>
      </c>
      <c r="M6" s="11">
        <v>1</v>
      </c>
      <c r="N6" s="4">
        <v>1</v>
      </c>
      <c r="O6" s="4">
        <v>1</v>
      </c>
      <c r="Q6" s="2" t="s">
        <v>5</v>
      </c>
      <c r="R6" s="2">
        <f>SUM(B23:M23)</f>
        <v>37</v>
      </c>
    </row>
    <row r="7" spans="1:19" x14ac:dyDescent="0.2">
      <c r="A7" s="3">
        <v>0.375</v>
      </c>
      <c r="B7" s="11">
        <v>1</v>
      </c>
      <c r="C7" s="11">
        <v>1</v>
      </c>
      <c r="D7" s="11">
        <v>1</v>
      </c>
      <c r="E7" s="11">
        <v>1</v>
      </c>
      <c r="F7" s="11">
        <v>1</v>
      </c>
      <c r="G7" s="11"/>
      <c r="H7" s="11"/>
      <c r="I7" s="11">
        <v>1</v>
      </c>
      <c r="J7" s="11">
        <v>1</v>
      </c>
      <c r="K7" s="11">
        <v>1</v>
      </c>
      <c r="L7" s="11">
        <v>1</v>
      </c>
      <c r="M7" s="11">
        <v>1</v>
      </c>
      <c r="N7" s="4">
        <v>1</v>
      </c>
      <c r="O7" s="4">
        <v>1</v>
      </c>
      <c r="Q7" s="2" t="s">
        <v>6</v>
      </c>
      <c r="R7" s="14">
        <v>0.75</v>
      </c>
    </row>
    <row r="8" spans="1:19" x14ac:dyDescent="0.2">
      <c r="A8" s="3">
        <v>0.39583333333333298</v>
      </c>
      <c r="B8" s="11" t="s">
        <v>18</v>
      </c>
      <c r="C8" s="11" t="s">
        <v>18</v>
      </c>
      <c r="D8" s="11" t="s">
        <v>18</v>
      </c>
      <c r="E8" s="11" t="s">
        <v>18</v>
      </c>
      <c r="F8" s="11" t="s">
        <v>18</v>
      </c>
      <c r="G8" s="11"/>
      <c r="H8" s="11"/>
      <c r="I8" s="11" t="s">
        <v>18</v>
      </c>
      <c r="J8" s="11" t="s">
        <v>18</v>
      </c>
      <c r="K8" s="11" t="s">
        <v>18</v>
      </c>
      <c r="L8" s="11" t="s">
        <v>18</v>
      </c>
      <c r="M8" s="11" t="s">
        <v>18</v>
      </c>
      <c r="N8" s="4">
        <v>1</v>
      </c>
      <c r="O8" s="4">
        <v>1</v>
      </c>
      <c r="Q8" s="2" t="s">
        <v>7</v>
      </c>
      <c r="R8" s="2">
        <f>R6*R7</f>
        <v>27.75</v>
      </c>
    </row>
    <row r="9" spans="1:19" x14ac:dyDescent="0.2">
      <c r="A9" s="3">
        <v>0.41666666666666702</v>
      </c>
      <c r="B9" s="11">
        <v>1</v>
      </c>
      <c r="C9" s="11">
        <v>1</v>
      </c>
      <c r="D9" s="11">
        <v>1</v>
      </c>
      <c r="E9" s="11">
        <v>1</v>
      </c>
      <c r="F9" s="11">
        <v>1</v>
      </c>
      <c r="G9" s="11"/>
      <c r="H9" s="11"/>
      <c r="I9" s="11">
        <v>1</v>
      </c>
      <c r="J9" s="11">
        <v>1</v>
      </c>
      <c r="K9" s="11">
        <v>1</v>
      </c>
      <c r="L9" s="11">
        <v>1</v>
      </c>
      <c r="M9" s="11">
        <v>1</v>
      </c>
      <c r="N9" s="4" t="s">
        <v>18</v>
      </c>
      <c r="O9" s="4" t="s">
        <v>18</v>
      </c>
      <c r="Q9" s="2" t="s">
        <v>8</v>
      </c>
      <c r="R9" s="2"/>
    </row>
    <row r="10" spans="1:19" x14ac:dyDescent="0.2">
      <c r="A10" s="3">
        <v>0.4375</v>
      </c>
      <c r="B10" s="11">
        <v>1</v>
      </c>
      <c r="C10" s="11">
        <v>1</v>
      </c>
      <c r="D10" s="11">
        <v>1</v>
      </c>
      <c r="E10" s="11">
        <v>1</v>
      </c>
      <c r="F10" s="11">
        <v>1</v>
      </c>
      <c r="G10" s="11"/>
      <c r="H10" s="11"/>
      <c r="I10" s="11">
        <v>1</v>
      </c>
      <c r="J10" s="11">
        <v>1</v>
      </c>
      <c r="K10" s="11">
        <v>1</v>
      </c>
      <c r="L10" s="11">
        <v>1</v>
      </c>
      <c r="M10" s="11">
        <v>1</v>
      </c>
      <c r="N10" s="4">
        <v>1</v>
      </c>
      <c r="O10" s="4">
        <v>1</v>
      </c>
      <c r="Q10" s="2" t="s">
        <v>9</v>
      </c>
      <c r="R10" s="2">
        <f>R8-R9</f>
        <v>27.75</v>
      </c>
    </row>
    <row r="11" spans="1:19" x14ac:dyDescent="0.2">
      <c r="A11" s="3">
        <v>0.45833333333333298</v>
      </c>
      <c r="B11" s="11" t="s">
        <v>28</v>
      </c>
      <c r="C11" s="11">
        <v>1</v>
      </c>
      <c r="D11" s="11">
        <v>1</v>
      </c>
      <c r="E11" s="11">
        <v>1</v>
      </c>
      <c r="F11" s="11">
        <v>1</v>
      </c>
      <c r="G11" s="11"/>
      <c r="H11" s="11"/>
      <c r="I11" s="11">
        <v>1</v>
      </c>
      <c r="J11" s="11">
        <v>1</v>
      </c>
      <c r="K11" s="11">
        <v>1</v>
      </c>
      <c r="L11" s="11">
        <v>1</v>
      </c>
      <c r="M11" s="11">
        <v>1</v>
      </c>
      <c r="N11" s="4">
        <v>1</v>
      </c>
      <c r="O11" s="4">
        <v>1</v>
      </c>
    </row>
    <row r="12" spans="1:19" x14ac:dyDescent="0.2">
      <c r="A12" s="3">
        <v>0.47916666666666702</v>
      </c>
      <c r="B12" s="11" t="s">
        <v>28</v>
      </c>
      <c r="C12" s="11">
        <v>1</v>
      </c>
      <c r="D12" s="11">
        <v>1</v>
      </c>
      <c r="E12" s="11">
        <v>1</v>
      </c>
      <c r="F12" s="11">
        <v>1</v>
      </c>
      <c r="G12" s="11"/>
      <c r="H12" s="11"/>
      <c r="I12" s="11">
        <v>1</v>
      </c>
      <c r="J12" s="11">
        <v>1</v>
      </c>
      <c r="K12" s="11">
        <v>1</v>
      </c>
      <c r="L12" s="11">
        <v>1</v>
      </c>
      <c r="M12" s="11">
        <v>1</v>
      </c>
      <c r="N12" s="4">
        <v>1</v>
      </c>
      <c r="O12" s="4">
        <v>1</v>
      </c>
      <c r="Q12" s="18" t="s">
        <v>19</v>
      </c>
      <c r="R12" s="15" t="s">
        <v>17</v>
      </c>
      <c r="S12" s="15" t="s">
        <v>20</v>
      </c>
    </row>
    <row r="13" spans="1:19" x14ac:dyDescent="0.2">
      <c r="A13" s="3">
        <v>0.5</v>
      </c>
      <c r="B13" s="11">
        <v>1</v>
      </c>
      <c r="C13" s="11">
        <v>1</v>
      </c>
      <c r="D13" s="11" t="s">
        <v>29</v>
      </c>
      <c r="E13" s="11">
        <v>1</v>
      </c>
      <c r="F13" s="11">
        <v>1</v>
      </c>
      <c r="G13" s="11"/>
      <c r="H13" s="11"/>
      <c r="I13" s="11"/>
      <c r="J13" s="11"/>
      <c r="K13" s="11">
        <v>1</v>
      </c>
      <c r="L13" s="11">
        <v>1</v>
      </c>
      <c r="M13" s="11"/>
      <c r="N13" s="4">
        <v>1</v>
      </c>
      <c r="O13" s="4">
        <v>1</v>
      </c>
      <c r="Q13" s="16" t="s">
        <v>21</v>
      </c>
      <c r="R13" s="17">
        <f>COUNTIF($B$5:$O$22,"*Daily*")/2</f>
        <v>6</v>
      </c>
      <c r="S13" s="19">
        <f>R13/$R$21</f>
        <v>0.13333333333333333</v>
      </c>
    </row>
    <row r="14" spans="1:19" x14ac:dyDescent="0.2">
      <c r="A14" s="3">
        <v>0.52083333333333304</v>
      </c>
      <c r="B14" s="11">
        <v>1</v>
      </c>
      <c r="C14" s="11">
        <v>1</v>
      </c>
      <c r="D14" s="11" t="s">
        <v>29</v>
      </c>
      <c r="E14" s="11">
        <v>1</v>
      </c>
      <c r="F14" s="11">
        <v>1</v>
      </c>
      <c r="G14" s="11"/>
      <c r="H14" s="11"/>
      <c r="I14" s="11">
        <v>1</v>
      </c>
      <c r="J14" s="11">
        <v>1</v>
      </c>
      <c r="K14" s="11">
        <v>1</v>
      </c>
      <c r="L14" s="11">
        <v>1</v>
      </c>
      <c r="M14" s="11"/>
      <c r="N14" s="4">
        <v>1</v>
      </c>
      <c r="O14" s="4">
        <v>1</v>
      </c>
      <c r="Q14" s="16" t="s">
        <v>22</v>
      </c>
      <c r="R14" s="17">
        <f>COUNTIF($B$5:$O$22,"*Scrum*")/2</f>
        <v>8</v>
      </c>
      <c r="S14" s="19">
        <f t="shared" ref="S14:S21" si="2">R14/$R$21</f>
        <v>0.17777777777777778</v>
      </c>
    </row>
    <row r="15" spans="1:19" x14ac:dyDescent="0.2">
      <c r="A15" s="3">
        <v>0.54166666666666696</v>
      </c>
      <c r="B15" s="11"/>
      <c r="C15" s="11"/>
      <c r="D15" s="11"/>
      <c r="E15" s="11"/>
      <c r="F15" s="11"/>
      <c r="G15" s="11"/>
      <c r="H15" s="11"/>
      <c r="I15" s="11">
        <v>1</v>
      </c>
      <c r="J15" s="11">
        <v>1</v>
      </c>
      <c r="K15" s="11"/>
      <c r="L15" s="11"/>
      <c r="M15" s="11"/>
      <c r="N15" s="4">
        <v>1</v>
      </c>
      <c r="O15" s="4">
        <v>1</v>
      </c>
      <c r="Q15" s="16" t="s">
        <v>23</v>
      </c>
      <c r="R15" s="17">
        <f>COUNTIF($B$5:$O$22,"*CR*")/2</f>
        <v>8</v>
      </c>
      <c r="S15" s="19">
        <f t="shared" si="2"/>
        <v>0.17777777777777778</v>
      </c>
    </row>
    <row r="16" spans="1:19" x14ac:dyDescent="0.2">
      <c r="A16" s="3">
        <v>0.5625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 t="s">
        <v>30</v>
      </c>
      <c r="N16" s="4">
        <v>1</v>
      </c>
      <c r="O16" s="4">
        <v>1</v>
      </c>
      <c r="Q16" s="16" t="s">
        <v>24</v>
      </c>
      <c r="R16" s="17">
        <f>COUNTIF($B$5:$O$22,Q16)/2</f>
        <v>0</v>
      </c>
      <c r="S16" s="19">
        <f t="shared" si="2"/>
        <v>0</v>
      </c>
    </row>
    <row r="17" spans="1:19" x14ac:dyDescent="0.2">
      <c r="A17" s="3">
        <v>0.58333333333333304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 t="s">
        <v>30</v>
      </c>
      <c r="N17" s="4">
        <v>1</v>
      </c>
      <c r="O17" s="4">
        <v>1</v>
      </c>
      <c r="Q17" s="16" t="s">
        <v>25</v>
      </c>
      <c r="R17" s="17">
        <f>COUNTIF($B$5:$O$22,Q17)/2</f>
        <v>0</v>
      </c>
      <c r="S17" s="19">
        <f t="shared" si="2"/>
        <v>0</v>
      </c>
    </row>
    <row r="18" spans="1:19" x14ac:dyDescent="0.2">
      <c r="A18" s="3">
        <v>0.60416666666666696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4">
        <v>1</v>
      </c>
      <c r="O18" s="4">
        <v>1</v>
      </c>
      <c r="Q18" s="16" t="s">
        <v>26</v>
      </c>
      <c r="R18" s="17">
        <f>COUNTIF($B$5:$O$22,Q18)</f>
        <v>0</v>
      </c>
      <c r="S18" s="19">
        <f t="shared" si="2"/>
        <v>0</v>
      </c>
    </row>
    <row r="19" spans="1:19" x14ac:dyDescent="0.2">
      <c r="A19" s="3">
        <v>0.625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4">
        <v>1</v>
      </c>
      <c r="O19" s="4">
        <v>1</v>
      </c>
      <c r="Q19" s="16" t="s">
        <v>5</v>
      </c>
      <c r="R19" s="17">
        <f>R6</f>
        <v>37</v>
      </c>
      <c r="S19" s="19">
        <f>R19/$R$21</f>
        <v>0.82222222222222219</v>
      </c>
    </row>
    <row r="20" spans="1:19" x14ac:dyDescent="0.2">
      <c r="A20" s="3">
        <v>0.64583333333333404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4">
        <v>1</v>
      </c>
      <c r="O20" s="4">
        <v>1</v>
      </c>
      <c r="Q20" s="16" t="s">
        <v>7</v>
      </c>
      <c r="R20" s="17">
        <f>R8</f>
        <v>27.75</v>
      </c>
      <c r="S20" s="19">
        <f t="shared" si="2"/>
        <v>0.6166666666666667</v>
      </c>
    </row>
    <row r="21" spans="1:19" x14ac:dyDescent="0.2">
      <c r="A21" s="5">
        <v>0.66666666666666696</v>
      </c>
      <c r="B21" s="11"/>
      <c r="C21" s="11"/>
      <c r="D21" s="11"/>
      <c r="E21" s="6"/>
      <c r="F21" s="11"/>
      <c r="G21" s="11"/>
      <c r="H21" s="11"/>
      <c r="I21" s="11"/>
      <c r="J21" s="11"/>
      <c r="K21" s="11"/>
      <c r="L21" s="11"/>
      <c r="M21" s="11"/>
      <c r="N21" s="6">
        <v>1</v>
      </c>
      <c r="O21" s="6">
        <v>1</v>
      </c>
      <c r="Q21" s="16" t="s">
        <v>4</v>
      </c>
      <c r="R21" s="17">
        <f>R5</f>
        <v>45</v>
      </c>
      <c r="S21" s="19">
        <f t="shared" si="2"/>
        <v>1</v>
      </c>
    </row>
    <row r="22" spans="1:19" ht="16" thickBot="1" x14ac:dyDescent="0.25">
      <c r="A22" s="5">
        <v>0.6875</v>
      </c>
      <c r="B22" s="6"/>
      <c r="C22" s="11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S22" s="20"/>
    </row>
    <row r="23" spans="1:19" ht="16" thickTop="1" x14ac:dyDescent="0.2">
      <c r="A23" s="7" t="s">
        <v>27</v>
      </c>
      <c r="B23" s="7">
        <f>SUM(B5:B22)/2</f>
        <v>3</v>
      </c>
      <c r="C23" s="7">
        <f t="shared" ref="C23:O23" si="3">SUM(C5:C22)/2</f>
        <v>4</v>
      </c>
      <c r="D23" s="7">
        <f t="shared" si="3"/>
        <v>3</v>
      </c>
      <c r="E23" s="7">
        <f t="shared" si="3"/>
        <v>4</v>
      </c>
      <c r="F23" s="7">
        <f t="shared" si="3"/>
        <v>4</v>
      </c>
      <c r="G23" s="7">
        <f t="shared" si="3"/>
        <v>0</v>
      </c>
      <c r="H23" s="7">
        <f t="shared" si="3"/>
        <v>0</v>
      </c>
      <c r="I23" s="7">
        <f t="shared" si="3"/>
        <v>4</v>
      </c>
      <c r="J23" s="7">
        <f t="shared" si="3"/>
        <v>4</v>
      </c>
      <c r="K23" s="7">
        <f t="shared" si="3"/>
        <v>4</v>
      </c>
      <c r="L23" s="7">
        <f t="shared" si="3"/>
        <v>4</v>
      </c>
      <c r="M23" s="7">
        <f t="shared" si="3"/>
        <v>3</v>
      </c>
      <c r="N23" s="7">
        <f t="shared" si="3"/>
        <v>8</v>
      </c>
      <c r="O23" s="7">
        <f t="shared" si="3"/>
        <v>8</v>
      </c>
    </row>
  </sheetData>
  <mergeCells count="2">
    <mergeCell ref="A1:O1"/>
    <mergeCell ref="Q3:R4"/>
  </mergeCells>
  <conditionalFormatting sqref="B6:E16">
    <cfRule type="cellIs" dxfId="14" priority="4" operator="equal">
      <formula>1</formula>
    </cfRule>
  </conditionalFormatting>
  <conditionalFormatting sqref="B8:F8">
    <cfRule type="cellIs" dxfId="13" priority="2" operator="equal">
      <formula>1</formula>
    </cfRule>
  </conditionalFormatting>
  <conditionalFormatting sqref="B5:O5 N6:O21 B22:O22">
    <cfRule type="cellIs" dxfId="12" priority="30" operator="equal">
      <formula>1</formula>
    </cfRule>
  </conditionalFormatting>
  <conditionalFormatting sqref="F6:M9 F10:H16 I10:M21 B17:H21">
    <cfRule type="cellIs" dxfId="11" priority="8" operator="equal">
      <formula>1</formula>
    </cfRule>
  </conditionalFormatting>
  <conditionalFormatting sqref="I6:L6">
    <cfRule type="cellIs" dxfId="10" priority="9" operator="equal">
      <formula>1</formula>
    </cfRule>
  </conditionalFormatting>
  <conditionalFormatting sqref="I8:M8">
    <cfRule type="cellIs" dxfId="9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B15CB8-7A68-45DA-8D2B-17D89056A885}">
          <x14:formula1>
            <xm:f>Glossary!$B$2:$B$10</xm:f>
          </x14:formula1>
          <xm:sqref>B5:O22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295B-44D0-4EA4-815F-B6B51DA8BFE9}">
  <dimension ref="A1:S23"/>
  <sheetViews>
    <sheetView showGridLines="0" zoomScale="80" zoomScaleNormal="80" workbookViewId="0">
      <selection activeCell="R8" sqref="R8"/>
    </sheetView>
  </sheetViews>
  <sheetFormatPr baseColWidth="10" defaultColWidth="8.83203125" defaultRowHeight="15" x14ac:dyDescent="0.2"/>
  <cols>
    <col min="1" max="1" width="11.6640625" customWidth="1"/>
    <col min="2" max="6" width="16.83203125" style="1" customWidth="1"/>
    <col min="7" max="8" width="16.83203125" style="1" hidden="1" customWidth="1"/>
    <col min="9" max="13" width="16.83203125" customWidth="1"/>
    <col min="14" max="15" width="17.1640625" hidden="1" customWidth="1"/>
    <col min="16" max="16" width="6.1640625" customWidth="1"/>
    <col min="17" max="17" width="19.33203125" customWidth="1"/>
    <col min="18" max="18" width="13.5" customWidth="1"/>
    <col min="19" max="19" width="12.5" customWidth="1"/>
  </cols>
  <sheetData>
    <row r="1" spans="1:19" x14ac:dyDescent="0.2">
      <c r="A1" s="56" t="str">
        <f>_xlfn.XLOOKUP(Summary!$C$2,Glossary!E:E,Glossary!I:I)</f>
        <v>SPRINT 1 (24.11 - 07.12)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1:19" ht="6" customHeight="1" x14ac:dyDescent="0.2"/>
    <row r="3" spans="1:19" x14ac:dyDescent="0.2">
      <c r="A3" s="9" t="s">
        <v>16</v>
      </c>
      <c r="B3" s="12">
        <f>_xlfn.XLOOKUP(Summary!$C$2,Glossary!E:E,Glossary!F:F)</f>
        <v>45985</v>
      </c>
      <c r="C3" s="12">
        <f>B3+1</f>
        <v>45986</v>
      </c>
      <c r="D3" s="12">
        <f>C3+1</f>
        <v>45987</v>
      </c>
      <c r="E3" s="12">
        <f t="shared" ref="E3:O3" si="0">D3+1</f>
        <v>45988</v>
      </c>
      <c r="F3" s="12">
        <f t="shared" si="0"/>
        <v>45989</v>
      </c>
      <c r="G3" s="12">
        <f t="shared" si="0"/>
        <v>45990</v>
      </c>
      <c r="H3" s="12">
        <f t="shared" si="0"/>
        <v>45991</v>
      </c>
      <c r="I3" s="12">
        <f t="shared" si="0"/>
        <v>45992</v>
      </c>
      <c r="J3" s="12">
        <f t="shared" si="0"/>
        <v>45993</v>
      </c>
      <c r="K3" s="12">
        <f t="shared" si="0"/>
        <v>45994</v>
      </c>
      <c r="L3" s="12">
        <f t="shared" si="0"/>
        <v>45995</v>
      </c>
      <c r="M3" s="12">
        <f t="shared" si="0"/>
        <v>45996</v>
      </c>
      <c r="N3" s="12">
        <f t="shared" si="0"/>
        <v>45997</v>
      </c>
      <c r="O3" s="12">
        <f t="shared" si="0"/>
        <v>45998</v>
      </c>
      <c r="Q3" s="57" t="str">
        <f>"Summary - "&amp;A1</f>
        <v>Summary - SPRINT 1 (24.11 - 07.12)</v>
      </c>
      <c r="R3" s="58"/>
    </row>
    <row r="4" spans="1:19" x14ac:dyDescent="0.2">
      <c r="A4" s="10" t="s">
        <v>17</v>
      </c>
      <c r="B4" s="13" t="str">
        <f>TEXT(B3,"[$-409]DDDD")</f>
        <v>Monday</v>
      </c>
      <c r="C4" s="13" t="str">
        <f t="shared" ref="C4:O4" si="1">TEXT(C3,"[$-409]DDDD")</f>
        <v>Tuesday</v>
      </c>
      <c r="D4" s="13" t="str">
        <f t="shared" si="1"/>
        <v>Wednesday</v>
      </c>
      <c r="E4" s="13" t="str">
        <f t="shared" si="1"/>
        <v>Thursday</v>
      </c>
      <c r="F4" s="13" t="str">
        <f t="shared" si="1"/>
        <v>Friday</v>
      </c>
      <c r="G4" s="13" t="str">
        <f t="shared" si="1"/>
        <v>Saturday</v>
      </c>
      <c r="H4" s="13" t="str">
        <f t="shared" si="1"/>
        <v>Sunday</v>
      </c>
      <c r="I4" s="13" t="str">
        <f t="shared" si="1"/>
        <v>Monday</v>
      </c>
      <c r="J4" s="13" t="str">
        <f t="shared" si="1"/>
        <v>Tuesday</v>
      </c>
      <c r="K4" s="13" t="str">
        <f t="shared" si="1"/>
        <v>Wednesday</v>
      </c>
      <c r="L4" s="13" t="str">
        <f t="shared" si="1"/>
        <v>Thursday</v>
      </c>
      <c r="M4" s="13" t="str">
        <f t="shared" si="1"/>
        <v>Friday</v>
      </c>
      <c r="N4" s="13" t="str">
        <f t="shared" si="1"/>
        <v>Saturday</v>
      </c>
      <c r="O4" s="13" t="str">
        <f t="shared" si="1"/>
        <v>Sunday</v>
      </c>
      <c r="Q4" s="59"/>
      <c r="R4" s="60"/>
    </row>
    <row r="5" spans="1:19" x14ac:dyDescent="0.2">
      <c r="A5" s="8">
        <v>0.33333333333333331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>
        <v>1</v>
      </c>
      <c r="O5" s="11">
        <v>1</v>
      </c>
      <c r="Q5" s="2" t="s">
        <v>4</v>
      </c>
      <c r="R5" s="2">
        <f>COUNTA(B5:M21)/2</f>
        <v>78.5</v>
      </c>
    </row>
    <row r="6" spans="1:19" x14ac:dyDescent="0.2">
      <c r="A6" s="3">
        <v>0.35416666666666669</v>
      </c>
      <c r="B6" s="11">
        <v>1</v>
      </c>
      <c r="C6" s="11">
        <v>1</v>
      </c>
      <c r="D6" s="11">
        <v>1</v>
      </c>
      <c r="E6" s="11">
        <v>1</v>
      </c>
      <c r="F6" s="11">
        <v>1</v>
      </c>
      <c r="G6" s="11"/>
      <c r="H6" s="11"/>
      <c r="I6" s="11">
        <v>1</v>
      </c>
      <c r="J6" s="11">
        <v>1</v>
      </c>
      <c r="K6" s="11">
        <v>1</v>
      </c>
      <c r="L6" s="11">
        <v>1</v>
      </c>
      <c r="M6" s="11">
        <v>1</v>
      </c>
      <c r="N6" s="4">
        <v>1</v>
      </c>
      <c r="O6" s="4">
        <v>1</v>
      </c>
      <c r="Q6" s="2" t="s">
        <v>5</v>
      </c>
      <c r="R6" s="2">
        <f>SUM(B23:M23)</f>
        <v>69</v>
      </c>
    </row>
    <row r="7" spans="1:19" x14ac:dyDescent="0.2">
      <c r="A7" s="3">
        <v>0.375</v>
      </c>
      <c r="B7" s="11">
        <v>1</v>
      </c>
      <c r="C7" s="11">
        <v>1</v>
      </c>
      <c r="D7" s="11">
        <v>1</v>
      </c>
      <c r="E7" s="11">
        <v>1</v>
      </c>
      <c r="F7" s="11">
        <v>1</v>
      </c>
      <c r="G7" s="11"/>
      <c r="H7" s="11"/>
      <c r="I7" s="11">
        <v>1</v>
      </c>
      <c r="J7" s="11">
        <v>1</v>
      </c>
      <c r="K7" s="11">
        <v>1</v>
      </c>
      <c r="L7" s="11">
        <v>1</v>
      </c>
      <c r="M7" s="11">
        <v>1</v>
      </c>
      <c r="N7" s="4">
        <v>1</v>
      </c>
      <c r="O7" s="4">
        <v>1</v>
      </c>
      <c r="Q7" s="2" t="s">
        <v>6</v>
      </c>
      <c r="R7" s="14">
        <v>0.75</v>
      </c>
    </row>
    <row r="8" spans="1:19" x14ac:dyDescent="0.2">
      <c r="A8" s="3">
        <v>0.39583333333333298</v>
      </c>
      <c r="B8" s="11" t="s">
        <v>28</v>
      </c>
      <c r="C8" s="11" t="s">
        <v>18</v>
      </c>
      <c r="D8" s="11" t="s">
        <v>18</v>
      </c>
      <c r="E8" s="11" t="s">
        <v>18</v>
      </c>
      <c r="F8" s="11" t="s">
        <v>18</v>
      </c>
      <c r="G8" s="11"/>
      <c r="H8" s="11"/>
      <c r="I8" s="11" t="s">
        <v>18</v>
      </c>
      <c r="J8" s="11" t="s">
        <v>18</v>
      </c>
      <c r="K8" s="11" t="s">
        <v>18</v>
      </c>
      <c r="L8" s="11" t="s">
        <v>18</v>
      </c>
      <c r="M8" s="11" t="s">
        <v>18</v>
      </c>
      <c r="N8" s="4">
        <v>1</v>
      </c>
      <c r="O8" s="4">
        <v>1</v>
      </c>
      <c r="Q8" s="2" t="s">
        <v>7</v>
      </c>
      <c r="R8" s="2">
        <f>R6*R7</f>
        <v>51.75</v>
      </c>
    </row>
    <row r="9" spans="1:19" x14ac:dyDescent="0.2">
      <c r="A9" s="3">
        <v>0.41666666666666702</v>
      </c>
      <c r="B9" s="11" t="s">
        <v>28</v>
      </c>
      <c r="C9" s="11">
        <v>1</v>
      </c>
      <c r="D9" s="11">
        <v>1</v>
      </c>
      <c r="E9" s="11">
        <v>1</v>
      </c>
      <c r="F9" s="11">
        <v>1</v>
      </c>
      <c r="G9" s="11"/>
      <c r="H9" s="11"/>
      <c r="I9" s="11">
        <v>1</v>
      </c>
      <c r="J9" s="11">
        <v>1</v>
      </c>
      <c r="K9" s="11">
        <v>1</v>
      </c>
      <c r="L9" s="11">
        <v>1</v>
      </c>
      <c r="M9" s="11">
        <v>1</v>
      </c>
      <c r="N9" s="4" t="s">
        <v>18</v>
      </c>
      <c r="O9" s="4" t="s">
        <v>18</v>
      </c>
      <c r="Q9" s="2" t="s">
        <v>8</v>
      </c>
      <c r="R9" s="2">
        <v>20</v>
      </c>
    </row>
    <row r="10" spans="1:19" x14ac:dyDescent="0.2">
      <c r="A10" s="3">
        <v>0.4375</v>
      </c>
      <c r="B10" s="11">
        <v>1</v>
      </c>
      <c r="C10" s="11">
        <v>1</v>
      </c>
      <c r="D10" s="11">
        <v>1</v>
      </c>
      <c r="E10" s="11"/>
      <c r="F10" s="11">
        <v>1</v>
      </c>
      <c r="G10" s="11"/>
      <c r="H10" s="11"/>
      <c r="I10" s="11">
        <v>1</v>
      </c>
      <c r="J10" s="11">
        <v>1</v>
      </c>
      <c r="K10" s="11">
        <v>1</v>
      </c>
      <c r="L10" s="11">
        <v>1</v>
      </c>
      <c r="M10" s="11">
        <v>1</v>
      </c>
      <c r="N10" s="4">
        <v>1</v>
      </c>
      <c r="O10" s="4">
        <v>1</v>
      </c>
      <c r="Q10" s="2" t="s">
        <v>9</v>
      </c>
      <c r="R10" s="2">
        <f>R8-R9</f>
        <v>31.75</v>
      </c>
    </row>
    <row r="11" spans="1:19" x14ac:dyDescent="0.2">
      <c r="A11" s="3">
        <v>0.45833333333333298</v>
      </c>
      <c r="B11" s="11">
        <v>1</v>
      </c>
      <c r="C11" s="11">
        <v>1</v>
      </c>
      <c r="D11" s="11">
        <v>1</v>
      </c>
      <c r="E11" s="11"/>
      <c r="F11" s="11">
        <v>1</v>
      </c>
      <c r="G11" s="11"/>
      <c r="H11" s="11"/>
      <c r="I11" s="11">
        <v>1</v>
      </c>
      <c r="J11" s="11">
        <v>1</v>
      </c>
      <c r="K11" s="11">
        <v>1</v>
      </c>
      <c r="L11" s="11">
        <v>1</v>
      </c>
      <c r="M11" s="11">
        <v>1</v>
      </c>
      <c r="N11" s="4">
        <v>1</v>
      </c>
      <c r="O11" s="4">
        <v>1</v>
      </c>
    </row>
    <row r="12" spans="1:19" x14ac:dyDescent="0.2">
      <c r="A12" s="3">
        <v>0.47916666666666702</v>
      </c>
      <c r="B12" s="11">
        <v>1</v>
      </c>
      <c r="C12" s="11">
        <v>1</v>
      </c>
      <c r="D12" s="11">
        <v>1</v>
      </c>
      <c r="E12" s="11">
        <v>1</v>
      </c>
      <c r="F12" s="11">
        <v>1</v>
      </c>
      <c r="G12" s="11"/>
      <c r="H12" s="11"/>
      <c r="I12" s="11">
        <v>1</v>
      </c>
      <c r="J12" s="11">
        <v>1</v>
      </c>
      <c r="K12" s="11">
        <v>1</v>
      </c>
      <c r="L12" s="11">
        <v>1</v>
      </c>
      <c r="M12" s="11">
        <v>1</v>
      </c>
      <c r="N12" s="4">
        <v>1</v>
      </c>
      <c r="O12" s="4">
        <v>1</v>
      </c>
      <c r="Q12" s="18" t="s">
        <v>19</v>
      </c>
      <c r="R12" s="15" t="s">
        <v>17</v>
      </c>
      <c r="S12" s="15" t="s">
        <v>20</v>
      </c>
    </row>
    <row r="13" spans="1:19" x14ac:dyDescent="0.2">
      <c r="A13" s="3">
        <v>0.5</v>
      </c>
      <c r="B13" s="11">
        <v>1</v>
      </c>
      <c r="C13" s="11"/>
      <c r="D13" s="11">
        <v>1</v>
      </c>
      <c r="E13" s="11">
        <v>1</v>
      </c>
      <c r="F13" s="11">
        <v>1</v>
      </c>
      <c r="G13" s="11"/>
      <c r="H13" s="11"/>
      <c r="I13" s="11">
        <v>1</v>
      </c>
      <c r="J13" s="11">
        <v>1</v>
      </c>
      <c r="K13" s="11">
        <v>1</v>
      </c>
      <c r="L13" s="11">
        <v>1</v>
      </c>
      <c r="M13" s="11">
        <v>1</v>
      </c>
      <c r="N13" s="4">
        <v>1</v>
      </c>
      <c r="O13" s="4">
        <v>1</v>
      </c>
      <c r="Q13" s="16" t="s">
        <v>21</v>
      </c>
      <c r="R13" s="17">
        <f>COUNTIF($B$5:$O$22,"*Daily*")/2</f>
        <v>5.5</v>
      </c>
      <c r="S13" s="19">
        <f>R13/$R$21</f>
        <v>7.0063694267515922E-2</v>
      </c>
    </row>
    <row r="14" spans="1:19" x14ac:dyDescent="0.2">
      <c r="A14" s="3">
        <v>0.52083333333333304</v>
      </c>
      <c r="B14" s="11">
        <v>1</v>
      </c>
      <c r="C14" s="11">
        <v>1</v>
      </c>
      <c r="D14" s="11">
        <v>1</v>
      </c>
      <c r="E14" s="11">
        <v>1</v>
      </c>
      <c r="F14" s="11">
        <v>1</v>
      </c>
      <c r="G14" s="11"/>
      <c r="H14" s="11"/>
      <c r="I14" s="11">
        <v>1</v>
      </c>
      <c r="J14" s="11">
        <v>1</v>
      </c>
      <c r="K14" s="11">
        <v>1</v>
      </c>
      <c r="L14" s="11">
        <v>1</v>
      </c>
      <c r="M14" s="11">
        <v>1</v>
      </c>
      <c r="N14" s="4">
        <v>1</v>
      </c>
      <c r="O14" s="4">
        <v>1</v>
      </c>
      <c r="Q14" s="16" t="s">
        <v>22</v>
      </c>
      <c r="R14" s="17">
        <f>COUNTIF($B$5:$O$22,"*Scrum*")/2</f>
        <v>8.5</v>
      </c>
      <c r="S14" s="19">
        <f t="shared" ref="S14:S21" si="2">R14/$R$21</f>
        <v>0.10828025477707007</v>
      </c>
    </row>
    <row r="15" spans="1:19" x14ac:dyDescent="0.2">
      <c r="A15" s="3">
        <v>0.54166666666666696</v>
      </c>
      <c r="B15" s="11" t="s">
        <v>30</v>
      </c>
      <c r="C15" s="11">
        <v>1</v>
      </c>
      <c r="D15" s="11" t="s">
        <v>29</v>
      </c>
      <c r="E15" s="11">
        <v>1</v>
      </c>
      <c r="F15" s="11">
        <v>1</v>
      </c>
      <c r="G15" s="11"/>
      <c r="H15" s="11"/>
      <c r="I15" s="11">
        <v>1</v>
      </c>
      <c r="J15" s="11">
        <v>1</v>
      </c>
      <c r="K15" s="11" t="s">
        <v>29</v>
      </c>
      <c r="L15" s="11">
        <v>1</v>
      </c>
      <c r="M15" s="11">
        <v>1</v>
      </c>
      <c r="N15" s="4">
        <v>1</v>
      </c>
      <c r="O15" s="4">
        <v>1</v>
      </c>
      <c r="Q15" s="16" t="s">
        <v>23</v>
      </c>
      <c r="R15" s="17">
        <f>COUNTIF($B$5:$O$22,"*CR*")/2</f>
        <v>8.5</v>
      </c>
      <c r="S15" s="19">
        <f t="shared" si="2"/>
        <v>0.10828025477707007</v>
      </c>
    </row>
    <row r="16" spans="1:19" x14ac:dyDescent="0.2">
      <c r="A16" s="3">
        <v>0.5625</v>
      </c>
      <c r="B16" s="11" t="s">
        <v>30</v>
      </c>
      <c r="C16" s="11">
        <v>1</v>
      </c>
      <c r="D16" s="11" t="s">
        <v>29</v>
      </c>
      <c r="E16" s="11">
        <v>1</v>
      </c>
      <c r="F16" s="11">
        <v>1</v>
      </c>
      <c r="G16" s="11"/>
      <c r="H16" s="11"/>
      <c r="I16" s="11">
        <v>1</v>
      </c>
      <c r="J16" s="11">
        <v>1</v>
      </c>
      <c r="K16" s="11" t="s">
        <v>29</v>
      </c>
      <c r="L16" s="11">
        <v>1</v>
      </c>
      <c r="M16" s="11" t="s">
        <v>30</v>
      </c>
      <c r="N16" s="4">
        <v>1</v>
      </c>
      <c r="O16" s="4">
        <v>1</v>
      </c>
      <c r="Q16" s="16" t="s">
        <v>24</v>
      </c>
      <c r="R16" s="17">
        <f>COUNTIF($B$5:$O$22,Q16)/2</f>
        <v>0</v>
      </c>
      <c r="S16" s="19">
        <f t="shared" si="2"/>
        <v>0</v>
      </c>
    </row>
    <row r="17" spans="1:19" x14ac:dyDescent="0.2">
      <c r="A17" s="3">
        <v>0.58333333333333304</v>
      </c>
      <c r="B17" s="11">
        <v>1</v>
      </c>
      <c r="C17" s="11">
        <v>1</v>
      </c>
      <c r="D17" s="11">
        <v>1</v>
      </c>
      <c r="E17" s="11">
        <v>1</v>
      </c>
      <c r="F17" s="11">
        <v>1</v>
      </c>
      <c r="G17" s="11"/>
      <c r="H17" s="11"/>
      <c r="I17" s="11">
        <v>1</v>
      </c>
      <c r="J17" s="11">
        <v>1</v>
      </c>
      <c r="K17" s="11">
        <v>1</v>
      </c>
      <c r="L17" s="11">
        <v>1</v>
      </c>
      <c r="M17" s="11" t="s">
        <v>30</v>
      </c>
      <c r="N17" s="4">
        <v>1</v>
      </c>
      <c r="O17" s="4">
        <v>1</v>
      </c>
      <c r="Q17" s="16" t="s">
        <v>25</v>
      </c>
      <c r="R17" s="17">
        <f>COUNTIF($B$5:$O$22,Q17)/2</f>
        <v>0</v>
      </c>
      <c r="S17" s="19">
        <f t="shared" si="2"/>
        <v>0</v>
      </c>
    </row>
    <row r="18" spans="1:19" x14ac:dyDescent="0.2">
      <c r="A18" s="3">
        <v>0.60416666666666696</v>
      </c>
      <c r="B18" s="11">
        <v>1</v>
      </c>
      <c r="C18" s="11">
        <v>1</v>
      </c>
      <c r="D18" s="11">
        <v>1</v>
      </c>
      <c r="E18" s="11">
        <v>1</v>
      </c>
      <c r="F18" s="11">
        <v>1</v>
      </c>
      <c r="G18" s="11"/>
      <c r="H18" s="11"/>
      <c r="I18" s="11">
        <v>1</v>
      </c>
      <c r="J18" s="11">
        <v>1</v>
      </c>
      <c r="K18" s="11">
        <v>1</v>
      </c>
      <c r="L18" s="11">
        <v>1</v>
      </c>
      <c r="M18" s="11">
        <v>1</v>
      </c>
      <c r="N18" s="4">
        <v>1</v>
      </c>
      <c r="O18" s="4">
        <v>1</v>
      </c>
      <c r="Q18" s="16" t="s">
        <v>26</v>
      </c>
      <c r="R18" s="17">
        <f>COUNTIF($B$5:$O$22,Q18)</f>
        <v>0</v>
      </c>
      <c r="S18" s="19">
        <f t="shared" si="2"/>
        <v>0</v>
      </c>
    </row>
    <row r="19" spans="1:19" x14ac:dyDescent="0.2">
      <c r="A19" s="3">
        <v>0.625</v>
      </c>
      <c r="B19" s="11">
        <v>1</v>
      </c>
      <c r="C19" s="11">
        <v>1</v>
      </c>
      <c r="D19" s="11">
        <v>1</v>
      </c>
      <c r="E19" s="11">
        <v>1</v>
      </c>
      <c r="F19" s="11">
        <v>1</v>
      </c>
      <c r="G19" s="11"/>
      <c r="H19" s="11"/>
      <c r="I19" s="11">
        <v>1</v>
      </c>
      <c r="J19" s="11">
        <v>1</v>
      </c>
      <c r="K19" s="11">
        <v>1</v>
      </c>
      <c r="L19" s="11">
        <v>1</v>
      </c>
      <c r="M19" s="11">
        <v>1</v>
      </c>
      <c r="N19" s="4">
        <v>1</v>
      </c>
      <c r="O19" s="4">
        <v>1</v>
      </c>
      <c r="Q19" s="16" t="s">
        <v>5</v>
      </c>
      <c r="R19" s="17">
        <f>R6</f>
        <v>69</v>
      </c>
      <c r="S19" s="19">
        <f>R19/$R$21</f>
        <v>0.87898089171974525</v>
      </c>
    </row>
    <row r="20" spans="1:19" x14ac:dyDescent="0.2">
      <c r="A20" s="3">
        <v>0.64583333333333404</v>
      </c>
      <c r="B20" s="11">
        <v>1</v>
      </c>
      <c r="C20" s="11">
        <v>1</v>
      </c>
      <c r="D20" s="11">
        <v>1</v>
      </c>
      <c r="E20" s="11">
        <v>1</v>
      </c>
      <c r="F20" s="11">
        <v>1</v>
      </c>
      <c r="G20" s="11"/>
      <c r="H20" s="11"/>
      <c r="I20" s="11">
        <v>1</v>
      </c>
      <c r="J20" s="11">
        <v>1</v>
      </c>
      <c r="K20" s="11">
        <v>1</v>
      </c>
      <c r="L20" s="11">
        <v>1</v>
      </c>
      <c r="M20" s="11">
        <v>1</v>
      </c>
      <c r="N20" s="4">
        <v>1</v>
      </c>
      <c r="O20" s="4">
        <v>1</v>
      </c>
      <c r="Q20" s="16" t="s">
        <v>7</v>
      </c>
      <c r="R20" s="17">
        <f>R8</f>
        <v>51.75</v>
      </c>
      <c r="S20" s="19">
        <f t="shared" si="2"/>
        <v>0.65923566878980888</v>
      </c>
    </row>
    <row r="21" spans="1:19" x14ac:dyDescent="0.2">
      <c r="A21" s="5">
        <v>0.66666666666666696</v>
      </c>
      <c r="B21" s="11">
        <v>1</v>
      </c>
      <c r="C21" s="11">
        <v>1</v>
      </c>
      <c r="D21" s="11">
        <v>1</v>
      </c>
      <c r="E21" s="11">
        <v>1</v>
      </c>
      <c r="F21" s="11">
        <v>1</v>
      </c>
      <c r="G21" s="11"/>
      <c r="H21" s="11"/>
      <c r="I21" s="11">
        <v>1</v>
      </c>
      <c r="J21" s="11">
        <v>1</v>
      </c>
      <c r="K21" s="11">
        <v>1</v>
      </c>
      <c r="L21" s="11">
        <v>1</v>
      </c>
      <c r="M21" s="11">
        <v>1</v>
      </c>
      <c r="N21" s="6">
        <v>1</v>
      </c>
      <c r="O21" s="6">
        <v>1</v>
      </c>
      <c r="Q21" s="16" t="s">
        <v>4</v>
      </c>
      <c r="R21" s="17">
        <f>R5</f>
        <v>78.5</v>
      </c>
      <c r="S21" s="19">
        <f t="shared" si="2"/>
        <v>1</v>
      </c>
    </row>
    <row r="22" spans="1:19" ht="16" thickBot="1" x14ac:dyDescent="0.25">
      <c r="A22" s="5">
        <v>0.6875</v>
      </c>
      <c r="B22" s="6"/>
      <c r="C22" s="11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S22" s="20"/>
    </row>
    <row r="23" spans="1:19" ht="16" thickTop="1" x14ac:dyDescent="0.2">
      <c r="A23" s="7" t="s">
        <v>27</v>
      </c>
      <c r="B23" s="7">
        <f>SUM(B5:B22)/2</f>
        <v>6</v>
      </c>
      <c r="C23" s="7">
        <f t="shared" ref="C23:O23" si="3">SUM(C5:C22)/2</f>
        <v>7</v>
      </c>
      <c r="D23" s="7">
        <f t="shared" si="3"/>
        <v>6.5</v>
      </c>
      <c r="E23" s="7">
        <f t="shared" si="3"/>
        <v>6.5</v>
      </c>
      <c r="F23" s="7">
        <f t="shared" si="3"/>
        <v>7.5</v>
      </c>
      <c r="G23" s="7">
        <f t="shared" si="3"/>
        <v>0</v>
      </c>
      <c r="H23" s="7">
        <f t="shared" si="3"/>
        <v>0</v>
      </c>
      <c r="I23" s="7">
        <f t="shared" si="3"/>
        <v>7.5</v>
      </c>
      <c r="J23" s="7">
        <f t="shared" si="3"/>
        <v>7.5</v>
      </c>
      <c r="K23" s="7">
        <f t="shared" si="3"/>
        <v>6.5</v>
      </c>
      <c r="L23" s="7">
        <f t="shared" si="3"/>
        <v>7.5</v>
      </c>
      <c r="M23" s="7">
        <f t="shared" si="3"/>
        <v>6.5</v>
      </c>
      <c r="N23" s="7">
        <f t="shared" si="3"/>
        <v>8</v>
      </c>
      <c r="O23" s="7">
        <f t="shared" si="3"/>
        <v>8</v>
      </c>
    </row>
  </sheetData>
  <mergeCells count="2">
    <mergeCell ref="A1:O1"/>
    <mergeCell ref="Q3:R4"/>
  </mergeCells>
  <conditionalFormatting sqref="B9">
    <cfRule type="cellIs" dxfId="8" priority="1" operator="equal">
      <formula>1</formula>
    </cfRule>
  </conditionalFormatting>
  <conditionalFormatting sqref="B8:F8">
    <cfRule type="cellIs" dxfId="7" priority="3" operator="equal">
      <formula>1</formula>
    </cfRule>
  </conditionalFormatting>
  <conditionalFormatting sqref="B5:O22">
    <cfRule type="cellIs" dxfId="6" priority="5" operator="equal">
      <formula>1</formula>
    </cfRule>
  </conditionalFormatting>
  <conditionalFormatting sqref="I6:L6">
    <cfRule type="cellIs" dxfId="5" priority="10" operator="equal">
      <formula>1</formula>
    </cfRule>
  </conditionalFormatting>
  <conditionalFormatting sqref="I8:M8"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16130-167A-4EF5-AB90-96526A1E9D18}">
          <x14:formula1>
            <xm:f>Glossary!$B$2:$B$10</xm:f>
          </x14:formula1>
          <xm:sqref>B5:O22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31572-6A7D-4446-AE68-0AEA050467D9}">
  <dimension ref="A1:S23"/>
  <sheetViews>
    <sheetView showGridLines="0" zoomScale="80" zoomScaleNormal="80" workbookViewId="0">
      <selection activeCell="L40" sqref="L40"/>
    </sheetView>
  </sheetViews>
  <sheetFormatPr baseColWidth="10" defaultColWidth="8.83203125" defaultRowHeight="15" x14ac:dyDescent="0.2"/>
  <cols>
    <col min="1" max="1" width="11.6640625" customWidth="1"/>
    <col min="2" max="6" width="16.83203125" style="1" customWidth="1"/>
    <col min="7" max="8" width="16.83203125" style="1" hidden="1" customWidth="1"/>
    <col min="9" max="13" width="16.83203125" customWidth="1"/>
    <col min="14" max="15" width="17.1640625" hidden="1" customWidth="1"/>
    <col min="16" max="16" width="6.1640625" customWidth="1"/>
    <col min="17" max="17" width="19.33203125" customWidth="1"/>
    <col min="18" max="18" width="13.5" customWidth="1"/>
    <col min="19" max="19" width="12.5" customWidth="1"/>
  </cols>
  <sheetData>
    <row r="1" spans="1:19" x14ac:dyDescent="0.2">
      <c r="A1" s="56" t="str">
        <f>_xlfn.XLOOKUP(Summary!$C$2,Glossary!E:E,Glossary!I:I)</f>
        <v>SPRINT 1 (24.11 - 07.12)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1:19" ht="6" customHeight="1" x14ac:dyDescent="0.2"/>
    <row r="3" spans="1:19" x14ac:dyDescent="0.2">
      <c r="A3" s="9" t="s">
        <v>16</v>
      </c>
      <c r="B3" s="12">
        <f>_xlfn.XLOOKUP(Summary!$C$2,Glossary!E:E,Glossary!F:F)</f>
        <v>45985</v>
      </c>
      <c r="C3" s="12">
        <f>B3+1</f>
        <v>45986</v>
      </c>
      <c r="D3" s="12">
        <f>C3+1</f>
        <v>45987</v>
      </c>
      <c r="E3" s="12">
        <f t="shared" ref="E3:O3" si="0">D3+1</f>
        <v>45988</v>
      </c>
      <c r="F3" s="12">
        <f t="shared" si="0"/>
        <v>45989</v>
      </c>
      <c r="G3" s="12">
        <f t="shared" si="0"/>
        <v>45990</v>
      </c>
      <c r="H3" s="12">
        <f t="shared" si="0"/>
        <v>45991</v>
      </c>
      <c r="I3" s="12">
        <f t="shared" si="0"/>
        <v>45992</v>
      </c>
      <c r="J3" s="12">
        <f t="shared" si="0"/>
        <v>45993</v>
      </c>
      <c r="K3" s="12">
        <f t="shared" si="0"/>
        <v>45994</v>
      </c>
      <c r="L3" s="12">
        <f t="shared" si="0"/>
        <v>45995</v>
      </c>
      <c r="M3" s="12">
        <f t="shared" si="0"/>
        <v>45996</v>
      </c>
      <c r="N3" s="12">
        <f t="shared" si="0"/>
        <v>45997</v>
      </c>
      <c r="O3" s="12">
        <f t="shared" si="0"/>
        <v>45998</v>
      </c>
      <c r="Q3" s="57" t="str">
        <f>"Summary - "&amp;A1</f>
        <v>Summary - SPRINT 1 (24.11 - 07.12)</v>
      </c>
      <c r="R3" s="58"/>
    </row>
    <row r="4" spans="1:19" x14ac:dyDescent="0.2">
      <c r="A4" s="10" t="s">
        <v>17</v>
      </c>
      <c r="B4" s="13" t="str">
        <f>TEXT(B3,"[$-409]DDDD")</f>
        <v>Monday</v>
      </c>
      <c r="C4" s="13" t="str">
        <f t="shared" ref="C4:O4" si="1">TEXT(C3,"[$-409]DDDD")</f>
        <v>Tuesday</v>
      </c>
      <c r="D4" s="13" t="str">
        <f t="shared" si="1"/>
        <v>Wednesday</v>
      </c>
      <c r="E4" s="13" t="str">
        <f t="shared" si="1"/>
        <v>Thursday</v>
      </c>
      <c r="F4" s="13" t="str">
        <f t="shared" si="1"/>
        <v>Friday</v>
      </c>
      <c r="G4" s="13" t="str">
        <f t="shared" si="1"/>
        <v>Saturday</v>
      </c>
      <c r="H4" s="13" t="str">
        <f t="shared" si="1"/>
        <v>Sunday</v>
      </c>
      <c r="I4" s="13" t="str">
        <f t="shared" si="1"/>
        <v>Monday</v>
      </c>
      <c r="J4" s="13" t="str">
        <f t="shared" si="1"/>
        <v>Tuesday</v>
      </c>
      <c r="K4" s="13" t="str">
        <f t="shared" si="1"/>
        <v>Wednesday</v>
      </c>
      <c r="L4" s="13" t="str">
        <f t="shared" si="1"/>
        <v>Thursday</v>
      </c>
      <c r="M4" s="13" t="str">
        <f t="shared" si="1"/>
        <v>Friday</v>
      </c>
      <c r="N4" s="13" t="str">
        <f t="shared" si="1"/>
        <v>Saturday</v>
      </c>
      <c r="O4" s="13" t="str">
        <f t="shared" si="1"/>
        <v>Sunday</v>
      </c>
      <c r="Q4" s="59"/>
      <c r="R4" s="60"/>
    </row>
    <row r="5" spans="1:19" x14ac:dyDescent="0.2">
      <c r="A5" s="8">
        <v>0.33333333333333331</v>
      </c>
      <c r="B5" s="11">
        <v>1</v>
      </c>
      <c r="C5" s="11">
        <v>1</v>
      </c>
      <c r="D5" s="11">
        <v>1</v>
      </c>
      <c r="E5" s="11">
        <v>1</v>
      </c>
      <c r="F5" s="11">
        <v>1</v>
      </c>
      <c r="G5" s="11"/>
      <c r="H5" s="11"/>
      <c r="I5" s="11">
        <v>1</v>
      </c>
      <c r="J5" s="11">
        <v>1</v>
      </c>
      <c r="K5" s="11">
        <v>1</v>
      </c>
      <c r="L5" s="11">
        <v>1</v>
      </c>
      <c r="M5" s="11">
        <v>1</v>
      </c>
      <c r="N5" s="11">
        <v>1</v>
      </c>
      <c r="O5" s="11">
        <v>1</v>
      </c>
      <c r="Q5" s="2" t="s">
        <v>4</v>
      </c>
      <c r="R5" s="2">
        <f>COUNTA(B5:M21)/2</f>
        <v>80</v>
      </c>
    </row>
    <row r="6" spans="1:19" x14ac:dyDescent="0.2">
      <c r="A6" s="3">
        <v>0.35416666666666669</v>
      </c>
      <c r="B6" s="11">
        <v>1</v>
      </c>
      <c r="C6" s="11">
        <v>1</v>
      </c>
      <c r="D6" s="11">
        <v>1</v>
      </c>
      <c r="E6" s="11">
        <v>1</v>
      </c>
      <c r="F6" s="11">
        <v>1</v>
      </c>
      <c r="G6" s="11"/>
      <c r="H6" s="11"/>
      <c r="I6" s="11">
        <v>1</v>
      </c>
      <c r="J6" s="11">
        <v>1</v>
      </c>
      <c r="K6" s="11">
        <v>1</v>
      </c>
      <c r="L6" s="11">
        <v>1</v>
      </c>
      <c r="M6" s="11">
        <v>1</v>
      </c>
      <c r="N6" s="4">
        <v>1</v>
      </c>
      <c r="O6" s="4">
        <v>1</v>
      </c>
      <c r="Q6" s="2" t="s">
        <v>5</v>
      </c>
      <c r="R6" s="2">
        <f>SUM(B23:M23)</f>
        <v>70.5</v>
      </c>
    </row>
    <row r="7" spans="1:19" x14ac:dyDescent="0.2">
      <c r="A7" s="3">
        <v>0.375</v>
      </c>
      <c r="B7" s="11">
        <v>1</v>
      </c>
      <c r="C7" s="11">
        <v>1</v>
      </c>
      <c r="D7" s="11">
        <v>1</v>
      </c>
      <c r="E7" s="11">
        <v>1</v>
      </c>
      <c r="F7" s="11">
        <v>1</v>
      </c>
      <c r="G7" s="11"/>
      <c r="H7" s="11"/>
      <c r="I7" s="11">
        <v>1</v>
      </c>
      <c r="J7" s="11">
        <v>1</v>
      </c>
      <c r="K7" s="11">
        <v>1</v>
      </c>
      <c r="L7" s="11">
        <v>1</v>
      </c>
      <c r="M7" s="11">
        <v>1</v>
      </c>
      <c r="N7" s="4">
        <v>1</v>
      </c>
      <c r="O7" s="4">
        <v>1</v>
      </c>
      <c r="Q7" s="2" t="s">
        <v>6</v>
      </c>
      <c r="R7" s="14">
        <v>0.75</v>
      </c>
    </row>
    <row r="8" spans="1:19" x14ac:dyDescent="0.2">
      <c r="A8" s="3">
        <v>0.39583333333333298</v>
      </c>
      <c r="B8" s="11" t="s">
        <v>18</v>
      </c>
      <c r="C8" s="11" t="s">
        <v>18</v>
      </c>
      <c r="D8" s="11" t="s">
        <v>18</v>
      </c>
      <c r="E8" s="11" t="s">
        <v>18</v>
      </c>
      <c r="F8" s="11" t="s">
        <v>18</v>
      </c>
      <c r="G8" s="11"/>
      <c r="H8" s="11"/>
      <c r="I8" s="11" t="s">
        <v>18</v>
      </c>
      <c r="J8" s="11" t="s">
        <v>18</v>
      </c>
      <c r="K8" s="11" t="s">
        <v>18</v>
      </c>
      <c r="L8" s="11" t="s">
        <v>18</v>
      </c>
      <c r="M8" s="11" t="s">
        <v>18</v>
      </c>
      <c r="N8" s="4">
        <v>1</v>
      </c>
      <c r="O8" s="4">
        <v>1</v>
      </c>
      <c r="Q8" s="2" t="s">
        <v>7</v>
      </c>
      <c r="R8" s="2">
        <f>R6*R7</f>
        <v>52.875</v>
      </c>
    </row>
    <row r="9" spans="1:19" x14ac:dyDescent="0.2">
      <c r="A9" s="3">
        <v>0.41666666666666702</v>
      </c>
      <c r="B9" s="11" t="s">
        <v>28</v>
      </c>
      <c r="C9" s="11">
        <v>1</v>
      </c>
      <c r="D9" s="11">
        <v>1</v>
      </c>
      <c r="E9" s="11">
        <v>1</v>
      </c>
      <c r="F9" s="11">
        <v>1</v>
      </c>
      <c r="G9" s="11"/>
      <c r="H9" s="11"/>
      <c r="I9" s="11">
        <v>1</v>
      </c>
      <c r="J9" s="11">
        <v>1</v>
      </c>
      <c r="K9" s="11">
        <v>1</v>
      </c>
      <c r="L9" s="11">
        <v>1</v>
      </c>
      <c r="M9" s="11">
        <v>1</v>
      </c>
      <c r="N9" s="4" t="s">
        <v>18</v>
      </c>
      <c r="O9" s="4" t="s">
        <v>18</v>
      </c>
      <c r="Q9" s="2" t="s">
        <v>8</v>
      </c>
      <c r="R9" s="2">
        <v>13</v>
      </c>
    </row>
    <row r="10" spans="1:19" x14ac:dyDescent="0.2">
      <c r="A10" s="3">
        <v>0.4375</v>
      </c>
      <c r="B10" s="11">
        <v>1</v>
      </c>
      <c r="C10" s="11">
        <v>1</v>
      </c>
      <c r="D10" s="11">
        <v>1</v>
      </c>
      <c r="E10" s="11">
        <v>1</v>
      </c>
      <c r="F10" s="11">
        <v>1</v>
      </c>
      <c r="G10" s="11"/>
      <c r="H10" s="11"/>
      <c r="I10" s="11">
        <v>1</v>
      </c>
      <c r="J10" s="11">
        <v>1</v>
      </c>
      <c r="K10" s="11">
        <v>1</v>
      </c>
      <c r="L10" s="11">
        <v>1</v>
      </c>
      <c r="M10" s="11">
        <v>1</v>
      </c>
      <c r="N10" s="4">
        <v>1</v>
      </c>
      <c r="O10" s="4">
        <v>1</v>
      </c>
      <c r="Q10" s="2" t="s">
        <v>9</v>
      </c>
      <c r="R10" s="2">
        <f>R8-R9</f>
        <v>39.875</v>
      </c>
    </row>
    <row r="11" spans="1:19" x14ac:dyDescent="0.2">
      <c r="A11" s="3">
        <v>0.45833333333333298</v>
      </c>
      <c r="B11" s="11">
        <v>1</v>
      </c>
      <c r="C11" s="11">
        <v>1</v>
      </c>
      <c r="D11" s="11">
        <v>1</v>
      </c>
      <c r="E11" s="11">
        <v>1</v>
      </c>
      <c r="F11" s="11">
        <v>1</v>
      </c>
      <c r="G11" s="11"/>
      <c r="H11" s="11"/>
      <c r="I11" s="11">
        <v>1</v>
      </c>
      <c r="J11" s="11">
        <v>1</v>
      </c>
      <c r="K11" s="11">
        <v>1</v>
      </c>
      <c r="L11" s="11">
        <v>1</v>
      </c>
      <c r="M11" s="11">
        <v>1</v>
      </c>
      <c r="N11" s="4">
        <v>1</v>
      </c>
      <c r="O11" s="4">
        <v>1</v>
      </c>
    </row>
    <row r="12" spans="1:19" x14ac:dyDescent="0.2">
      <c r="A12" s="3">
        <v>0.47916666666666702</v>
      </c>
      <c r="B12" s="11">
        <v>1</v>
      </c>
      <c r="C12" s="11">
        <v>1</v>
      </c>
      <c r="D12" s="11">
        <v>1</v>
      </c>
      <c r="E12" s="11">
        <v>1</v>
      </c>
      <c r="F12" s="11">
        <v>1</v>
      </c>
      <c r="G12" s="11"/>
      <c r="H12" s="11"/>
      <c r="I12" s="11">
        <v>1</v>
      </c>
      <c r="J12" s="11">
        <v>1</v>
      </c>
      <c r="K12" s="11">
        <v>1</v>
      </c>
      <c r="L12" s="11">
        <v>1</v>
      </c>
      <c r="M12" s="11">
        <v>1</v>
      </c>
      <c r="N12" s="4">
        <v>1</v>
      </c>
      <c r="O12" s="4">
        <v>1</v>
      </c>
      <c r="Q12" s="18" t="s">
        <v>19</v>
      </c>
      <c r="R12" s="15" t="s">
        <v>17</v>
      </c>
      <c r="S12" s="15" t="s">
        <v>20</v>
      </c>
    </row>
    <row r="13" spans="1:19" x14ac:dyDescent="0.2">
      <c r="A13" s="3">
        <v>0.5</v>
      </c>
      <c r="B13" s="11">
        <v>1</v>
      </c>
      <c r="C13" s="11">
        <v>1</v>
      </c>
      <c r="D13" s="11" t="s">
        <v>29</v>
      </c>
      <c r="E13" s="11">
        <v>1</v>
      </c>
      <c r="F13" s="11">
        <v>1</v>
      </c>
      <c r="G13" s="11"/>
      <c r="H13" s="11"/>
      <c r="I13" s="11">
        <v>1</v>
      </c>
      <c r="J13" s="11">
        <v>1</v>
      </c>
      <c r="K13" s="11">
        <v>1</v>
      </c>
      <c r="L13" s="11">
        <v>1</v>
      </c>
      <c r="M13" s="11">
        <v>1</v>
      </c>
      <c r="N13" s="4">
        <v>1</v>
      </c>
      <c r="O13" s="4">
        <v>1</v>
      </c>
      <c r="Q13" s="16" t="s">
        <v>21</v>
      </c>
      <c r="R13" s="17">
        <f>COUNTIF($B$5:$O$22,"*Daily*")/2</f>
        <v>6</v>
      </c>
      <c r="S13" s="19">
        <f>R13/$R$21</f>
        <v>7.4999999999999997E-2</v>
      </c>
    </row>
    <row r="14" spans="1:19" x14ac:dyDescent="0.2">
      <c r="A14" s="3">
        <v>0.52083333333333304</v>
      </c>
      <c r="B14" s="11">
        <v>1</v>
      </c>
      <c r="C14" s="11">
        <v>1</v>
      </c>
      <c r="D14" s="11" t="s">
        <v>29</v>
      </c>
      <c r="E14" s="11">
        <v>1</v>
      </c>
      <c r="F14" s="11">
        <v>1</v>
      </c>
      <c r="G14" s="11"/>
      <c r="H14" s="11"/>
      <c r="I14" s="11">
        <v>1</v>
      </c>
      <c r="J14" s="11">
        <v>1</v>
      </c>
      <c r="K14" s="11">
        <v>1</v>
      </c>
      <c r="L14" s="11">
        <v>1</v>
      </c>
      <c r="M14" s="11">
        <v>1</v>
      </c>
      <c r="N14" s="4">
        <v>1</v>
      </c>
      <c r="O14" s="4">
        <v>1</v>
      </c>
      <c r="Q14" s="16" t="s">
        <v>22</v>
      </c>
      <c r="R14" s="17">
        <f>COUNTIF($B$5:$O$22,"*Scrum*")/2</f>
        <v>8.5</v>
      </c>
      <c r="S14" s="19">
        <f t="shared" ref="S14:S21" si="2">R14/$R$21</f>
        <v>0.10625</v>
      </c>
    </row>
    <row r="15" spans="1:19" x14ac:dyDescent="0.2">
      <c r="A15" s="3">
        <v>0.54166666666666696</v>
      </c>
      <c r="B15" s="11" t="s">
        <v>30</v>
      </c>
      <c r="C15" s="11">
        <v>1</v>
      </c>
      <c r="D15" s="11">
        <v>1</v>
      </c>
      <c r="E15" s="11">
        <v>1</v>
      </c>
      <c r="F15" s="11">
        <v>1</v>
      </c>
      <c r="G15" s="11"/>
      <c r="H15" s="11"/>
      <c r="I15" s="11">
        <v>1</v>
      </c>
      <c r="J15" s="11">
        <v>1</v>
      </c>
      <c r="K15" s="11" t="s">
        <v>29</v>
      </c>
      <c r="L15" s="11">
        <v>1</v>
      </c>
      <c r="M15" s="11">
        <v>1</v>
      </c>
      <c r="N15" s="4">
        <v>1</v>
      </c>
      <c r="O15" s="4">
        <v>1</v>
      </c>
      <c r="Q15" s="16" t="s">
        <v>23</v>
      </c>
      <c r="R15" s="17">
        <f>COUNTIF($B$5:$O$22,"*CR*")/2</f>
        <v>8.5</v>
      </c>
      <c r="S15" s="19">
        <f t="shared" si="2"/>
        <v>0.10625</v>
      </c>
    </row>
    <row r="16" spans="1:19" x14ac:dyDescent="0.2">
      <c r="A16" s="3">
        <v>0.5625</v>
      </c>
      <c r="B16" s="11" t="s">
        <v>30</v>
      </c>
      <c r="C16" s="11">
        <v>1</v>
      </c>
      <c r="D16" s="11">
        <v>1</v>
      </c>
      <c r="E16" s="11">
        <v>1</v>
      </c>
      <c r="F16" s="11">
        <v>1</v>
      </c>
      <c r="G16" s="11"/>
      <c r="H16" s="11"/>
      <c r="I16" s="11">
        <v>1</v>
      </c>
      <c r="J16" s="11">
        <v>1</v>
      </c>
      <c r="K16" s="11" t="s">
        <v>29</v>
      </c>
      <c r="L16" s="11">
        <v>1</v>
      </c>
      <c r="M16" s="11" t="s">
        <v>30</v>
      </c>
      <c r="N16" s="4">
        <v>1</v>
      </c>
      <c r="O16" s="4">
        <v>1</v>
      </c>
      <c r="Q16" s="16" t="s">
        <v>24</v>
      </c>
      <c r="R16" s="17">
        <f>COUNTIF($B$5:$O$22,Q16)/2</f>
        <v>0</v>
      </c>
      <c r="S16" s="19">
        <f t="shared" si="2"/>
        <v>0</v>
      </c>
    </row>
    <row r="17" spans="1:19" x14ac:dyDescent="0.2">
      <c r="A17" s="3">
        <v>0.58333333333333304</v>
      </c>
      <c r="B17" s="11">
        <v>1</v>
      </c>
      <c r="C17" s="11">
        <v>1</v>
      </c>
      <c r="D17" s="11">
        <v>1</v>
      </c>
      <c r="E17" s="11">
        <v>1</v>
      </c>
      <c r="F17" s="11">
        <v>1</v>
      </c>
      <c r="G17" s="11"/>
      <c r="H17" s="11"/>
      <c r="I17" s="11">
        <v>1</v>
      </c>
      <c r="J17" s="11">
        <v>1</v>
      </c>
      <c r="K17" s="11">
        <v>1</v>
      </c>
      <c r="L17" s="11">
        <v>1</v>
      </c>
      <c r="M17" s="11" t="s">
        <v>30</v>
      </c>
      <c r="N17" s="4">
        <v>1</v>
      </c>
      <c r="O17" s="4">
        <v>1</v>
      </c>
      <c r="Q17" s="16" t="s">
        <v>25</v>
      </c>
      <c r="R17" s="17">
        <f>COUNTIF($B$5:$O$22,Q17)/2</f>
        <v>0</v>
      </c>
      <c r="S17" s="19">
        <f t="shared" si="2"/>
        <v>0</v>
      </c>
    </row>
    <row r="18" spans="1:19" x14ac:dyDescent="0.2">
      <c r="A18" s="3">
        <v>0.60416666666666696</v>
      </c>
      <c r="B18" s="11">
        <v>1</v>
      </c>
      <c r="C18" s="11">
        <v>1</v>
      </c>
      <c r="D18" s="11">
        <v>1</v>
      </c>
      <c r="E18" s="11">
        <v>1</v>
      </c>
      <c r="F18" s="11">
        <v>1</v>
      </c>
      <c r="G18" s="11"/>
      <c r="H18" s="11"/>
      <c r="I18" s="11">
        <v>1</v>
      </c>
      <c r="J18" s="11">
        <v>1</v>
      </c>
      <c r="K18" s="11">
        <v>1</v>
      </c>
      <c r="L18" s="11">
        <v>1</v>
      </c>
      <c r="M18" s="11">
        <v>1</v>
      </c>
      <c r="N18" s="4">
        <v>1</v>
      </c>
      <c r="O18" s="4">
        <v>1</v>
      </c>
      <c r="Q18" s="16" t="s">
        <v>26</v>
      </c>
      <c r="R18" s="17">
        <f>COUNTIF($B$5:$O$22,Q18)</f>
        <v>0</v>
      </c>
      <c r="S18" s="19">
        <f t="shared" si="2"/>
        <v>0</v>
      </c>
    </row>
    <row r="19" spans="1:19" x14ac:dyDescent="0.2">
      <c r="A19" s="3">
        <v>0.625</v>
      </c>
      <c r="B19" s="11">
        <v>1</v>
      </c>
      <c r="C19" s="11">
        <v>1</v>
      </c>
      <c r="D19" s="11">
        <v>1</v>
      </c>
      <c r="E19" s="11">
        <v>1</v>
      </c>
      <c r="F19" s="11">
        <v>1</v>
      </c>
      <c r="G19" s="11"/>
      <c r="H19" s="11"/>
      <c r="I19" s="11">
        <v>1</v>
      </c>
      <c r="J19" s="11">
        <v>1</v>
      </c>
      <c r="K19" s="11">
        <v>1</v>
      </c>
      <c r="L19" s="11">
        <v>1</v>
      </c>
      <c r="M19" s="11">
        <v>1</v>
      </c>
      <c r="N19" s="4">
        <v>1</v>
      </c>
      <c r="O19" s="4">
        <v>1</v>
      </c>
      <c r="Q19" s="16" t="s">
        <v>5</v>
      </c>
      <c r="R19" s="17">
        <f>R6</f>
        <v>70.5</v>
      </c>
      <c r="S19" s="19">
        <f>R19/$R$21</f>
        <v>0.88124999999999998</v>
      </c>
    </row>
    <row r="20" spans="1:19" x14ac:dyDescent="0.2">
      <c r="A20" s="3">
        <v>0.64583333333333404</v>
      </c>
      <c r="B20" s="11">
        <v>1</v>
      </c>
      <c r="C20" s="11">
        <v>1</v>
      </c>
      <c r="D20" s="11">
        <v>1</v>
      </c>
      <c r="E20" s="11">
        <v>1</v>
      </c>
      <c r="F20" s="11">
        <v>1</v>
      </c>
      <c r="G20" s="11"/>
      <c r="H20" s="11"/>
      <c r="I20" s="11">
        <v>1</v>
      </c>
      <c r="J20" s="11">
        <v>1</v>
      </c>
      <c r="K20" s="11">
        <v>1</v>
      </c>
      <c r="L20" s="11">
        <v>1</v>
      </c>
      <c r="M20" s="11">
        <v>1</v>
      </c>
      <c r="N20" s="4">
        <v>1</v>
      </c>
      <c r="O20" s="4">
        <v>1</v>
      </c>
      <c r="Q20" s="16" t="s">
        <v>7</v>
      </c>
      <c r="R20" s="17">
        <f>R8</f>
        <v>52.875</v>
      </c>
      <c r="S20" s="19">
        <f t="shared" si="2"/>
        <v>0.66093749999999996</v>
      </c>
    </row>
    <row r="21" spans="1:19" x14ac:dyDescent="0.2">
      <c r="A21" s="5">
        <v>0.66666666666666696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6">
        <v>1</v>
      </c>
      <c r="O21" s="6">
        <v>1</v>
      </c>
      <c r="Q21" s="16" t="s">
        <v>4</v>
      </c>
      <c r="R21" s="17">
        <f>R5</f>
        <v>80</v>
      </c>
      <c r="S21" s="19">
        <f t="shared" si="2"/>
        <v>1</v>
      </c>
    </row>
    <row r="22" spans="1:19" x14ac:dyDescent="0.2">
      <c r="A22" s="5">
        <v>0.6875</v>
      </c>
      <c r="B22" s="6"/>
      <c r="C22" s="6"/>
      <c r="D22" s="6"/>
      <c r="E22" s="6"/>
      <c r="F22" s="6"/>
      <c r="G22" s="6"/>
      <c r="H22" s="6"/>
      <c r="I22" s="11"/>
      <c r="J22" s="11"/>
      <c r="K22" s="11"/>
      <c r="L22" s="11"/>
      <c r="M22" s="11"/>
      <c r="N22" s="6"/>
      <c r="O22" s="6"/>
      <c r="S22" s="20"/>
    </row>
    <row r="23" spans="1:19" x14ac:dyDescent="0.2">
      <c r="A23" s="7" t="s">
        <v>27</v>
      </c>
      <c r="B23" s="7">
        <f>SUM(B5:B22)/2</f>
        <v>6</v>
      </c>
      <c r="C23" s="7">
        <f t="shared" ref="C23:O23" si="3">SUM(C5:C22)/2</f>
        <v>7.5</v>
      </c>
      <c r="D23" s="7">
        <f t="shared" si="3"/>
        <v>6.5</v>
      </c>
      <c r="E23" s="7">
        <f t="shared" si="3"/>
        <v>7.5</v>
      </c>
      <c r="F23" s="7">
        <f t="shared" si="3"/>
        <v>7.5</v>
      </c>
      <c r="G23" s="7">
        <f t="shared" si="3"/>
        <v>0</v>
      </c>
      <c r="H23" s="7">
        <f t="shared" si="3"/>
        <v>0</v>
      </c>
      <c r="I23" s="7">
        <f t="shared" si="3"/>
        <v>7.5</v>
      </c>
      <c r="J23" s="7">
        <f t="shared" si="3"/>
        <v>7.5</v>
      </c>
      <c r="K23" s="7">
        <f t="shared" si="3"/>
        <v>6.5</v>
      </c>
      <c r="L23" s="7">
        <f t="shared" si="3"/>
        <v>7.5</v>
      </c>
      <c r="M23" s="7">
        <f t="shared" si="3"/>
        <v>6.5</v>
      </c>
      <c r="N23" s="7">
        <f t="shared" si="3"/>
        <v>8</v>
      </c>
      <c r="O23" s="7">
        <f t="shared" si="3"/>
        <v>8</v>
      </c>
    </row>
  </sheetData>
  <mergeCells count="2">
    <mergeCell ref="A1:O1"/>
    <mergeCell ref="Q3:R4"/>
  </mergeCells>
  <conditionalFormatting sqref="B8:F8">
    <cfRule type="cellIs" dxfId="3" priority="2" operator="equal">
      <formula>1</formula>
    </cfRule>
  </conditionalFormatting>
  <conditionalFormatting sqref="B5:O22">
    <cfRule type="cellIs" dxfId="2" priority="4" operator="equal">
      <formula>1</formula>
    </cfRule>
  </conditionalFormatting>
  <conditionalFormatting sqref="I6:L6">
    <cfRule type="cellIs" dxfId="1" priority="9" operator="equal">
      <formula>1</formula>
    </cfRule>
  </conditionalFormatting>
  <conditionalFormatting sqref="I8:M8">
    <cfRule type="cellIs" dxfId="0" priority="1" operator="equal">
      <formula>1</formula>
    </cfRule>
  </conditionalFormatting>
  <pageMargins left="0.7" right="0.7" top="0.75" bottom="0.75" header="0.3" footer="0.3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0815B7-0376-4428-ACD1-9DE7C9C29A45}">
          <x14:formula1>
            <xm:f>Glossary!$B$2:$B$10</xm:f>
          </x14:formula1>
          <xm:sqref>B5:O22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4B87-15E2-40D0-BE11-B119B06E7ECC}">
  <sheetPr codeName="Sheet3"/>
  <dimension ref="B1:I40"/>
  <sheetViews>
    <sheetView zoomScale="150" zoomScaleNormal="150" workbookViewId="0">
      <selection activeCell="F3" sqref="F3"/>
    </sheetView>
  </sheetViews>
  <sheetFormatPr baseColWidth="10" defaultColWidth="8.83203125" defaultRowHeight="15" x14ac:dyDescent="0.2"/>
  <cols>
    <col min="1" max="1" width="3.5" customWidth="1"/>
    <col min="2" max="2" width="18.83203125" bestFit="1" customWidth="1"/>
    <col min="6" max="6" width="16.83203125" customWidth="1"/>
    <col min="7" max="7" width="16.1640625" customWidth="1"/>
    <col min="8" max="8" width="17.5" customWidth="1"/>
    <col min="9" max="9" width="20.5" bestFit="1" customWidth="1"/>
  </cols>
  <sheetData>
    <row r="1" spans="2:9" x14ac:dyDescent="0.2">
      <c r="E1" s="24" t="s">
        <v>31</v>
      </c>
      <c r="F1" s="24" t="s">
        <v>32</v>
      </c>
      <c r="G1" s="24" t="s">
        <v>33</v>
      </c>
    </row>
    <row r="2" spans="2:9" x14ac:dyDescent="0.2">
      <c r="B2" s="1">
        <v>1</v>
      </c>
      <c r="E2" s="22">
        <f>IF(F2="","",SUBTOTAL(3,$F$2:F2))</f>
        <v>1</v>
      </c>
      <c r="F2" s="21">
        <v>45985</v>
      </c>
      <c r="G2" s="21">
        <f>F2+13</f>
        <v>45998</v>
      </c>
      <c r="H2" s="25" t="str">
        <f>TEXT(F2,"dd.mm")&amp;" - "&amp;TEXT(G2,"dd.mm")</f>
        <v>24.11 - 07.12</v>
      </c>
      <c r="I2" s="25" t="str">
        <f>"SPRINT "&amp;E2&amp;" ("&amp;H2&amp;")"</f>
        <v>SPRINT 1 (24.11 - 07.12)</v>
      </c>
    </row>
    <row r="3" spans="2:9" x14ac:dyDescent="0.2">
      <c r="B3" t="s">
        <v>37</v>
      </c>
      <c r="E3" s="22">
        <f>IF(F3="","",SUBTOTAL(3,$F$2:F3))</f>
        <v>2</v>
      </c>
      <c r="F3" s="21">
        <f>G2+1</f>
        <v>45999</v>
      </c>
      <c r="G3" s="21">
        <f t="shared" ref="G3:G40" si="0">F3+13</f>
        <v>46012</v>
      </c>
      <c r="H3" s="25" t="str">
        <f t="shared" ref="H3:H40" si="1">TEXT(F3,"dd.mm")&amp;" - "&amp;TEXT(G3,"dd.mm")</f>
        <v>08.12 - 21.12</v>
      </c>
      <c r="I3" s="25" t="str">
        <f t="shared" ref="I3:I40" si="2">"SPRINT "&amp;E3&amp;" ("&amp;H3&amp;")"</f>
        <v>SPRINT 2 (08.12 - 21.12)</v>
      </c>
    </row>
    <row r="4" spans="2:9" x14ac:dyDescent="0.2">
      <c r="B4" t="s">
        <v>42</v>
      </c>
      <c r="E4" s="22">
        <f>IF(F4="","",SUBTOTAL(3,$F$2:F4))</f>
        <v>3</v>
      </c>
      <c r="F4" s="21">
        <f t="shared" ref="F4:F40" si="3">G3+1</f>
        <v>46013</v>
      </c>
      <c r="G4" s="21">
        <f t="shared" si="0"/>
        <v>46026</v>
      </c>
      <c r="H4" s="25" t="str">
        <f t="shared" si="1"/>
        <v>22.12 - 04.01</v>
      </c>
      <c r="I4" s="25" t="str">
        <f t="shared" si="2"/>
        <v>SPRINT 3 (22.12 - 04.01)</v>
      </c>
    </row>
    <row r="5" spans="2:9" x14ac:dyDescent="0.2">
      <c r="B5" t="s">
        <v>38</v>
      </c>
      <c r="E5" s="22">
        <f>IF(F5="","",SUBTOTAL(3,$F$2:F5))</f>
        <v>4</v>
      </c>
      <c r="F5" s="21">
        <f t="shared" si="3"/>
        <v>46027</v>
      </c>
      <c r="G5" s="21">
        <f t="shared" si="0"/>
        <v>46040</v>
      </c>
      <c r="H5" s="25" t="str">
        <f t="shared" si="1"/>
        <v>05.01 - 18.01</v>
      </c>
      <c r="I5" s="25" t="str">
        <f t="shared" si="2"/>
        <v>SPRINT 4 (05.01 - 18.01)</v>
      </c>
    </row>
    <row r="6" spans="2:9" x14ac:dyDescent="0.2">
      <c r="B6" t="s">
        <v>40</v>
      </c>
      <c r="E6" s="22">
        <f>IF(F6="","",SUBTOTAL(3,$F$2:F6))</f>
        <v>5</v>
      </c>
      <c r="F6" s="21">
        <f t="shared" si="3"/>
        <v>46041</v>
      </c>
      <c r="G6" s="21">
        <f t="shared" si="0"/>
        <v>46054</v>
      </c>
      <c r="H6" s="25" t="str">
        <f t="shared" si="1"/>
        <v>19.01 - 01.02</v>
      </c>
      <c r="I6" s="25" t="str">
        <f t="shared" si="2"/>
        <v>SPRINT 5 (19.01 - 01.02)</v>
      </c>
    </row>
    <row r="7" spans="2:9" x14ac:dyDescent="0.2">
      <c r="B7" t="s">
        <v>39</v>
      </c>
      <c r="E7" s="22">
        <f>IF(F7="","",SUBTOTAL(3,$F$2:F7))</f>
        <v>6</v>
      </c>
      <c r="F7" s="21">
        <f t="shared" si="3"/>
        <v>46055</v>
      </c>
      <c r="G7" s="21">
        <f t="shared" si="0"/>
        <v>46068</v>
      </c>
      <c r="H7" s="25" t="str">
        <f t="shared" si="1"/>
        <v>02.02 - 15.02</v>
      </c>
      <c r="I7" s="25" t="str">
        <f t="shared" si="2"/>
        <v>SPRINT 6 (02.02 - 15.02)</v>
      </c>
    </row>
    <row r="8" spans="2:9" x14ac:dyDescent="0.2">
      <c r="B8" t="s">
        <v>41</v>
      </c>
      <c r="E8" s="22">
        <f>IF(F8="","",SUBTOTAL(3,$F$2:F8))</f>
        <v>7</v>
      </c>
      <c r="F8" s="21">
        <f t="shared" si="3"/>
        <v>46069</v>
      </c>
      <c r="G8" s="21">
        <f t="shared" si="0"/>
        <v>46082</v>
      </c>
      <c r="H8" s="25" t="str">
        <f t="shared" si="1"/>
        <v>16.02 - 01.03</v>
      </c>
      <c r="I8" s="25" t="str">
        <f t="shared" si="2"/>
        <v>SPRINT 7 (16.02 - 01.03)</v>
      </c>
    </row>
    <row r="9" spans="2:9" x14ac:dyDescent="0.2">
      <c r="B9" t="s">
        <v>36</v>
      </c>
      <c r="E9" s="22">
        <f>IF(F9="","",SUBTOTAL(3,$F$2:F9))</f>
        <v>8</v>
      </c>
      <c r="F9" s="21">
        <f t="shared" si="3"/>
        <v>46083</v>
      </c>
      <c r="G9" s="21">
        <f t="shared" si="0"/>
        <v>46096</v>
      </c>
      <c r="H9" s="25" t="str">
        <f t="shared" si="1"/>
        <v>02.03 - 15.03</v>
      </c>
      <c r="I9" s="25" t="str">
        <f t="shared" si="2"/>
        <v>SPRINT 8 (02.03 - 15.03)</v>
      </c>
    </row>
    <row r="10" spans="2:9" x14ac:dyDescent="0.2">
      <c r="B10" t="s">
        <v>34</v>
      </c>
      <c r="E10" s="22">
        <f>IF(F10="","",SUBTOTAL(3,$F$2:F10))</f>
        <v>9</v>
      </c>
      <c r="F10" s="21">
        <f t="shared" si="3"/>
        <v>46097</v>
      </c>
      <c r="G10" s="21">
        <f t="shared" si="0"/>
        <v>46110</v>
      </c>
      <c r="H10" s="25" t="str">
        <f t="shared" si="1"/>
        <v>16.03 - 29.03</v>
      </c>
      <c r="I10" s="25" t="str">
        <f t="shared" si="2"/>
        <v>SPRINT 9 (16.03 - 29.03)</v>
      </c>
    </row>
    <row r="11" spans="2:9" x14ac:dyDescent="0.2">
      <c r="E11" s="22">
        <f>IF(F11="","",SUBTOTAL(3,$F$2:F11))</f>
        <v>10</v>
      </c>
      <c r="F11" s="21">
        <f t="shared" si="3"/>
        <v>46111</v>
      </c>
      <c r="G11" s="21">
        <f t="shared" si="0"/>
        <v>46124</v>
      </c>
      <c r="H11" s="25" t="str">
        <f t="shared" si="1"/>
        <v>30.03 - 12.04</v>
      </c>
      <c r="I11" s="25" t="str">
        <f t="shared" si="2"/>
        <v>SPRINT 10 (30.03 - 12.04)</v>
      </c>
    </row>
    <row r="12" spans="2:9" x14ac:dyDescent="0.2">
      <c r="E12" s="22">
        <f>IF(F12="","",SUBTOTAL(3,$F$2:F12))</f>
        <v>11</v>
      </c>
      <c r="F12" s="21">
        <f t="shared" si="3"/>
        <v>46125</v>
      </c>
      <c r="G12" s="21">
        <f t="shared" si="0"/>
        <v>46138</v>
      </c>
      <c r="H12" s="25" t="str">
        <f t="shared" si="1"/>
        <v>13.04 - 26.04</v>
      </c>
      <c r="I12" s="25" t="str">
        <f t="shared" si="2"/>
        <v>SPRINT 11 (13.04 - 26.04)</v>
      </c>
    </row>
    <row r="13" spans="2:9" x14ac:dyDescent="0.2">
      <c r="E13" s="22">
        <f>IF(F13="","",SUBTOTAL(3,$F$2:F13))</f>
        <v>12</v>
      </c>
      <c r="F13" s="21">
        <f t="shared" si="3"/>
        <v>46139</v>
      </c>
      <c r="G13" s="21">
        <f t="shared" si="0"/>
        <v>46152</v>
      </c>
      <c r="H13" s="25" t="str">
        <f t="shared" si="1"/>
        <v>27.04 - 10.05</v>
      </c>
      <c r="I13" s="25" t="str">
        <f t="shared" si="2"/>
        <v>SPRINT 12 (27.04 - 10.05)</v>
      </c>
    </row>
    <row r="14" spans="2:9" x14ac:dyDescent="0.2">
      <c r="E14" s="22">
        <f>IF(F14="","",SUBTOTAL(3,$F$2:F14))</f>
        <v>13</v>
      </c>
      <c r="F14" s="21">
        <f t="shared" si="3"/>
        <v>46153</v>
      </c>
      <c r="G14" s="21">
        <f t="shared" si="0"/>
        <v>46166</v>
      </c>
      <c r="H14" s="25" t="str">
        <f t="shared" si="1"/>
        <v>11.05 - 24.05</v>
      </c>
      <c r="I14" s="25" t="str">
        <f t="shared" si="2"/>
        <v>SPRINT 13 (11.05 - 24.05)</v>
      </c>
    </row>
    <row r="15" spans="2:9" x14ac:dyDescent="0.2">
      <c r="E15" s="22">
        <f>IF(F15="","",SUBTOTAL(3,$F$2:F15))</f>
        <v>14</v>
      </c>
      <c r="F15" s="21">
        <f t="shared" si="3"/>
        <v>46167</v>
      </c>
      <c r="G15" s="21">
        <f t="shared" si="0"/>
        <v>46180</v>
      </c>
      <c r="H15" s="25" t="str">
        <f t="shared" si="1"/>
        <v>25.05 - 07.06</v>
      </c>
      <c r="I15" s="25" t="str">
        <f t="shared" si="2"/>
        <v>SPRINT 14 (25.05 - 07.06)</v>
      </c>
    </row>
    <row r="16" spans="2:9" x14ac:dyDescent="0.2">
      <c r="E16" s="22">
        <f>IF(F16="","",SUBTOTAL(3,$F$2:F16))</f>
        <v>15</v>
      </c>
      <c r="F16" s="21">
        <f t="shared" si="3"/>
        <v>46181</v>
      </c>
      <c r="G16" s="21">
        <f t="shared" si="0"/>
        <v>46194</v>
      </c>
      <c r="H16" s="25" t="str">
        <f t="shared" si="1"/>
        <v>08.06 - 21.06</v>
      </c>
      <c r="I16" s="25" t="str">
        <f t="shared" si="2"/>
        <v>SPRINT 15 (08.06 - 21.06)</v>
      </c>
    </row>
    <row r="17" spans="5:9" x14ac:dyDescent="0.2">
      <c r="E17" s="22">
        <f>IF(F17="","",SUBTOTAL(3,$F$2:F17))</f>
        <v>16</v>
      </c>
      <c r="F17" s="21">
        <f t="shared" si="3"/>
        <v>46195</v>
      </c>
      <c r="G17" s="21">
        <f t="shared" si="0"/>
        <v>46208</v>
      </c>
      <c r="H17" s="25" t="str">
        <f t="shared" si="1"/>
        <v>22.06 - 05.07</v>
      </c>
      <c r="I17" s="25" t="str">
        <f t="shared" si="2"/>
        <v>SPRINT 16 (22.06 - 05.07)</v>
      </c>
    </row>
    <row r="18" spans="5:9" x14ac:dyDescent="0.2">
      <c r="E18" s="22">
        <f>IF(F18="","",SUBTOTAL(3,$F$2:F18))</f>
        <v>17</v>
      </c>
      <c r="F18" s="21">
        <f t="shared" si="3"/>
        <v>46209</v>
      </c>
      <c r="G18" s="21">
        <f t="shared" si="0"/>
        <v>46222</v>
      </c>
      <c r="H18" s="25" t="str">
        <f t="shared" si="1"/>
        <v>06.07 - 19.07</v>
      </c>
      <c r="I18" s="25" t="str">
        <f t="shared" si="2"/>
        <v>SPRINT 17 (06.07 - 19.07)</v>
      </c>
    </row>
    <row r="19" spans="5:9" x14ac:dyDescent="0.2">
      <c r="E19" s="22">
        <f>IF(F19="","",SUBTOTAL(3,$F$2:F19))</f>
        <v>18</v>
      </c>
      <c r="F19" s="21">
        <f t="shared" si="3"/>
        <v>46223</v>
      </c>
      <c r="G19" s="21">
        <f t="shared" si="0"/>
        <v>46236</v>
      </c>
      <c r="H19" s="25" t="str">
        <f t="shared" si="1"/>
        <v>20.07 - 02.08</v>
      </c>
      <c r="I19" s="25" t="str">
        <f t="shared" si="2"/>
        <v>SPRINT 18 (20.07 - 02.08)</v>
      </c>
    </row>
    <row r="20" spans="5:9" x14ac:dyDescent="0.2">
      <c r="E20" s="22">
        <f>IF(F20="","",SUBTOTAL(3,$F$2:F20))</f>
        <v>19</v>
      </c>
      <c r="F20" s="21">
        <f t="shared" si="3"/>
        <v>46237</v>
      </c>
      <c r="G20" s="21">
        <f t="shared" si="0"/>
        <v>46250</v>
      </c>
      <c r="H20" s="25" t="str">
        <f t="shared" si="1"/>
        <v>03.08 - 16.08</v>
      </c>
      <c r="I20" s="25" t="str">
        <f t="shared" si="2"/>
        <v>SPRINT 19 (03.08 - 16.08)</v>
      </c>
    </row>
    <row r="21" spans="5:9" x14ac:dyDescent="0.2">
      <c r="E21" s="22">
        <f>IF(F21="","",SUBTOTAL(3,$F$2:F21))</f>
        <v>20</v>
      </c>
      <c r="F21" s="21">
        <f t="shared" si="3"/>
        <v>46251</v>
      </c>
      <c r="G21" s="21">
        <f t="shared" si="0"/>
        <v>46264</v>
      </c>
      <c r="H21" s="25" t="str">
        <f t="shared" si="1"/>
        <v>17.08 - 30.08</v>
      </c>
      <c r="I21" s="25" t="str">
        <f t="shared" si="2"/>
        <v>SPRINT 20 (17.08 - 30.08)</v>
      </c>
    </row>
    <row r="22" spans="5:9" x14ac:dyDescent="0.2">
      <c r="E22" s="22">
        <f>IF(F22="","",SUBTOTAL(3,$F$2:F22))</f>
        <v>21</v>
      </c>
      <c r="F22" s="21">
        <f t="shared" si="3"/>
        <v>46265</v>
      </c>
      <c r="G22" s="21">
        <f t="shared" si="0"/>
        <v>46278</v>
      </c>
      <c r="H22" s="25" t="str">
        <f t="shared" si="1"/>
        <v>31.08 - 13.09</v>
      </c>
      <c r="I22" s="25" t="str">
        <f t="shared" si="2"/>
        <v>SPRINT 21 (31.08 - 13.09)</v>
      </c>
    </row>
    <row r="23" spans="5:9" x14ac:dyDescent="0.2">
      <c r="E23" s="22">
        <f>IF(F23="","",SUBTOTAL(3,$F$2:F23))</f>
        <v>22</v>
      </c>
      <c r="F23" s="21">
        <f t="shared" si="3"/>
        <v>46279</v>
      </c>
      <c r="G23" s="21">
        <f t="shared" si="0"/>
        <v>46292</v>
      </c>
      <c r="H23" s="25" t="str">
        <f t="shared" si="1"/>
        <v>14.09 - 27.09</v>
      </c>
      <c r="I23" s="25" t="str">
        <f t="shared" si="2"/>
        <v>SPRINT 22 (14.09 - 27.09)</v>
      </c>
    </row>
    <row r="24" spans="5:9" x14ac:dyDescent="0.2">
      <c r="E24" s="22">
        <f>IF(F24="","",SUBTOTAL(3,$F$2:F24))</f>
        <v>23</v>
      </c>
      <c r="F24" s="21">
        <f t="shared" si="3"/>
        <v>46293</v>
      </c>
      <c r="G24" s="21">
        <f t="shared" si="0"/>
        <v>46306</v>
      </c>
      <c r="H24" s="25" t="str">
        <f t="shared" si="1"/>
        <v>28.09 - 11.10</v>
      </c>
      <c r="I24" s="25" t="str">
        <f t="shared" si="2"/>
        <v>SPRINT 23 (28.09 - 11.10)</v>
      </c>
    </row>
    <row r="25" spans="5:9" x14ac:dyDescent="0.2">
      <c r="E25" s="22">
        <f>IF(F25="","",SUBTOTAL(3,$F$2:F25))</f>
        <v>24</v>
      </c>
      <c r="F25" s="21">
        <f t="shared" si="3"/>
        <v>46307</v>
      </c>
      <c r="G25" s="21">
        <f t="shared" si="0"/>
        <v>46320</v>
      </c>
      <c r="H25" s="25" t="str">
        <f t="shared" si="1"/>
        <v>12.10 - 25.10</v>
      </c>
      <c r="I25" s="25" t="str">
        <f t="shared" si="2"/>
        <v>SPRINT 24 (12.10 - 25.10)</v>
      </c>
    </row>
    <row r="26" spans="5:9" x14ac:dyDescent="0.2">
      <c r="E26" s="22">
        <f>IF(F26="","",SUBTOTAL(3,$F$2:F26))</f>
        <v>25</v>
      </c>
      <c r="F26" s="21">
        <f t="shared" si="3"/>
        <v>46321</v>
      </c>
      <c r="G26" s="21">
        <f t="shared" si="0"/>
        <v>46334</v>
      </c>
      <c r="H26" s="25" t="str">
        <f t="shared" si="1"/>
        <v>26.10 - 08.11</v>
      </c>
      <c r="I26" s="25" t="str">
        <f t="shared" si="2"/>
        <v>SPRINT 25 (26.10 - 08.11)</v>
      </c>
    </row>
    <row r="27" spans="5:9" x14ac:dyDescent="0.2">
      <c r="E27" s="22">
        <f>IF(F27="","",SUBTOTAL(3,$F$2:F27))</f>
        <v>26</v>
      </c>
      <c r="F27" s="21">
        <f t="shared" si="3"/>
        <v>46335</v>
      </c>
      <c r="G27" s="21">
        <f t="shared" si="0"/>
        <v>46348</v>
      </c>
      <c r="H27" s="25" t="str">
        <f t="shared" si="1"/>
        <v>09.11 - 22.11</v>
      </c>
      <c r="I27" s="25" t="str">
        <f t="shared" si="2"/>
        <v>SPRINT 26 (09.11 - 22.11)</v>
      </c>
    </row>
    <row r="28" spans="5:9" x14ac:dyDescent="0.2">
      <c r="E28" s="22">
        <f>IF(F28="","",SUBTOTAL(3,$F$2:F28))</f>
        <v>27</v>
      </c>
      <c r="F28" s="21">
        <f t="shared" si="3"/>
        <v>46349</v>
      </c>
      <c r="G28" s="21">
        <f t="shared" si="0"/>
        <v>46362</v>
      </c>
      <c r="H28" s="25" t="str">
        <f t="shared" si="1"/>
        <v>23.11 - 06.12</v>
      </c>
      <c r="I28" s="25" t="str">
        <f t="shared" si="2"/>
        <v>SPRINT 27 (23.11 - 06.12)</v>
      </c>
    </row>
    <row r="29" spans="5:9" x14ac:dyDescent="0.2">
      <c r="E29" s="22">
        <f>IF(F29="","",SUBTOTAL(3,$F$2:F29))</f>
        <v>28</v>
      </c>
      <c r="F29" s="21">
        <f t="shared" si="3"/>
        <v>46363</v>
      </c>
      <c r="G29" s="21">
        <f t="shared" si="0"/>
        <v>46376</v>
      </c>
      <c r="H29" s="25" t="str">
        <f t="shared" si="1"/>
        <v>07.12 - 20.12</v>
      </c>
      <c r="I29" s="25" t="str">
        <f t="shared" si="2"/>
        <v>SPRINT 28 (07.12 - 20.12)</v>
      </c>
    </row>
    <row r="30" spans="5:9" x14ac:dyDescent="0.2">
      <c r="E30" s="22">
        <f>IF(F30="","",SUBTOTAL(3,$F$2:F30))</f>
        <v>29</v>
      </c>
      <c r="F30" s="21">
        <f t="shared" si="3"/>
        <v>46377</v>
      </c>
      <c r="G30" s="21">
        <f t="shared" si="0"/>
        <v>46390</v>
      </c>
      <c r="H30" s="25" t="str">
        <f t="shared" si="1"/>
        <v>21.12 - 03.01</v>
      </c>
      <c r="I30" s="25" t="str">
        <f t="shared" si="2"/>
        <v>SPRINT 29 (21.12 - 03.01)</v>
      </c>
    </row>
    <row r="31" spans="5:9" x14ac:dyDescent="0.2">
      <c r="E31" s="22">
        <f>IF(F31="","",SUBTOTAL(3,$F$2:F31))</f>
        <v>30</v>
      </c>
      <c r="F31" s="21">
        <f t="shared" si="3"/>
        <v>46391</v>
      </c>
      <c r="G31" s="21">
        <f t="shared" si="0"/>
        <v>46404</v>
      </c>
      <c r="H31" s="25" t="str">
        <f t="shared" si="1"/>
        <v>04.01 - 17.01</v>
      </c>
      <c r="I31" s="25" t="str">
        <f t="shared" si="2"/>
        <v>SPRINT 30 (04.01 - 17.01)</v>
      </c>
    </row>
    <row r="32" spans="5:9" x14ac:dyDescent="0.2">
      <c r="E32" s="22">
        <f>IF(F32="","",SUBTOTAL(3,$F$2:F32))</f>
        <v>31</v>
      </c>
      <c r="F32" s="21">
        <f t="shared" si="3"/>
        <v>46405</v>
      </c>
      <c r="G32" s="21">
        <f t="shared" si="0"/>
        <v>46418</v>
      </c>
      <c r="H32" s="25" t="str">
        <f t="shared" si="1"/>
        <v>18.01 - 31.01</v>
      </c>
      <c r="I32" s="25" t="str">
        <f t="shared" si="2"/>
        <v>SPRINT 31 (18.01 - 31.01)</v>
      </c>
    </row>
    <row r="33" spans="5:9" x14ac:dyDescent="0.2">
      <c r="E33" s="22">
        <f>IF(F33="","",SUBTOTAL(3,$F$2:F33))</f>
        <v>32</v>
      </c>
      <c r="F33" s="21">
        <f t="shared" si="3"/>
        <v>46419</v>
      </c>
      <c r="G33" s="21">
        <f t="shared" si="0"/>
        <v>46432</v>
      </c>
      <c r="H33" s="25" t="str">
        <f t="shared" si="1"/>
        <v>01.02 - 14.02</v>
      </c>
      <c r="I33" s="25" t="str">
        <f t="shared" si="2"/>
        <v>SPRINT 32 (01.02 - 14.02)</v>
      </c>
    </row>
    <row r="34" spans="5:9" x14ac:dyDescent="0.2">
      <c r="E34" s="22">
        <f>IF(F34="","",SUBTOTAL(3,$F$2:F34))</f>
        <v>33</v>
      </c>
      <c r="F34" s="21">
        <f t="shared" si="3"/>
        <v>46433</v>
      </c>
      <c r="G34" s="21">
        <f t="shared" si="0"/>
        <v>46446</v>
      </c>
      <c r="H34" s="25" t="str">
        <f t="shared" si="1"/>
        <v>15.02 - 28.02</v>
      </c>
      <c r="I34" s="25" t="str">
        <f t="shared" si="2"/>
        <v>SPRINT 33 (15.02 - 28.02)</v>
      </c>
    </row>
    <row r="35" spans="5:9" x14ac:dyDescent="0.2">
      <c r="E35" s="22">
        <f>IF(F35="","",SUBTOTAL(3,$F$2:F35))</f>
        <v>34</v>
      </c>
      <c r="F35" s="21">
        <f t="shared" si="3"/>
        <v>46447</v>
      </c>
      <c r="G35" s="21">
        <f t="shared" si="0"/>
        <v>46460</v>
      </c>
      <c r="H35" s="25" t="str">
        <f t="shared" si="1"/>
        <v>01.03 - 14.03</v>
      </c>
      <c r="I35" s="25" t="str">
        <f t="shared" si="2"/>
        <v>SPRINT 34 (01.03 - 14.03)</v>
      </c>
    </row>
    <row r="36" spans="5:9" x14ac:dyDescent="0.2">
      <c r="E36" s="22">
        <f>IF(F36="","",SUBTOTAL(3,$F$2:F36))</f>
        <v>35</v>
      </c>
      <c r="F36" s="21">
        <f t="shared" si="3"/>
        <v>46461</v>
      </c>
      <c r="G36" s="21">
        <f t="shared" si="0"/>
        <v>46474</v>
      </c>
      <c r="H36" s="25" t="str">
        <f t="shared" si="1"/>
        <v>15.03 - 28.03</v>
      </c>
      <c r="I36" s="25" t="str">
        <f t="shared" si="2"/>
        <v>SPRINT 35 (15.03 - 28.03)</v>
      </c>
    </row>
    <row r="37" spans="5:9" x14ac:dyDescent="0.2">
      <c r="E37" s="22">
        <f>IF(F37="","",SUBTOTAL(3,$F$2:F37))</f>
        <v>36</v>
      </c>
      <c r="F37" s="21">
        <f t="shared" si="3"/>
        <v>46475</v>
      </c>
      <c r="G37" s="21">
        <f t="shared" si="0"/>
        <v>46488</v>
      </c>
      <c r="H37" s="25" t="str">
        <f t="shared" si="1"/>
        <v>29.03 - 11.04</v>
      </c>
      <c r="I37" s="25" t="str">
        <f t="shared" si="2"/>
        <v>SPRINT 36 (29.03 - 11.04)</v>
      </c>
    </row>
    <row r="38" spans="5:9" x14ac:dyDescent="0.2">
      <c r="E38" s="22">
        <f>IF(F38="","",SUBTOTAL(3,$F$2:F38))</f>
        <v>37</v>
      </c>
      <c r="F38" s="21">
        <f t="shared" si="3"/>
        <v>46489</v>
      </c>
      <c r="G38" s="21">
        <f t="shared" si="0"/>
        <v>46502</v>
      </c>
      <c r="H38" s="25" t="str">
        <f t="shared" si="1"/>
        <v>12.04 - 25.04</v>
      </c>
      <c r="I38" s="25" t="str">
        <f t="shared" si="2"/>
        <v>SPRINT 37 (12.04 - 25.04)</v>
      </c>
    </row>
    <row r="39" spans="5:9" x14ac:dyDescent="0.2">
      <c r="E39" s="22">
        <f>IF(F39="","",SUBTOTAL(3,$F$2:F39))</f>
        <v>38</v>
      </c>
      <c r="F39" s="21">
        <f t="shared" si="3"/>
        <v>46503</v>
      </c>
      <c r="G39" s="21">
        <f t="shared" si="0"/>
        <v>46516</v>
      </c>
      <c r="H39" s="25" t="str">
        <f t="shared" si="1"/>
        <v>26.04 - 09.05</v>
      </c>
      <c r="I39" s="25" t="str">
        <f t="shared" si="2"/>
        <v>SPRINT 38 (26.04 - 09.05)</v>
      </c>
    </row>
    <row r="40" spans="5:9" x14ac:dyDescent="0.2">
      <c r="E40" s="22">
        <f>IF(F40="","",SUBTOTAL(3,$F$2:F40))</f>
        <v>39</v>
      </c>
      <c r="F40" s="21">
        <f t="shared" si="3"/>
        <v>46517</v>
      </c>
      <c r="G40" s="21">
        <f t="shared" si="0"/>
        <v>46530</v>
      </c>
      <c r="H40" s="25" t="str">
        <f t="shared" si="1"/>
        <v>10.05 - 23.05</v>
      </c>
      <c r="I40" s="25" t="str">
        <f t="shared" si="2"/>
        <v>SPRINT 39 (10.05 - 23.05)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B8F55CB3D666408E33C0EA59ED07A2" ma:contentTypeVersion="4" ma:contentTypeDescription="Create a new document." ma:contentTypeScope="" ma:versionID="3c5c7e49ee4fef52e0f4af8b368a5882">
  <xsd:schema xmlns:xsd="http://www.w3.org/2001/XMLSchema" xmlns:xs="http://www.w3.org/2001/XMLSchema" xmlns:p="http://schemas.microsoft.com/office/2006/metadata/properties" xmlns:ns2="891fb0ef-e36f-476e-8add-66b2b75bf524" targetNamespace="http://schemas.microsoft.com/office/2006/metadata/properties" ma:root="true" ma:fieldsID="35deaa5cc89935f68e44421ac65827ee" ns2:_="">
    <xsd:import namespace="891fb0ef-e36f-476e-8add-66b2b75bf5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1fb0ef-e36f-476e-8add-66b2b75bf5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8EDA11-EB81-4AB2-ACC9-DA718271D9F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65FE283-D141-44F7-B740-7496DCB21B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16CBEE-F95A-4F65-A60B-33F4EE4F77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1fb0ef-e36f-476e-8add-66b2b75bf5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Mateusz</vt:lpstr>
      <vt:lpstr>Tomek</vt:lpstr>
      <vt:lpstr>Artem</vt:lpstr>
      <vt:lpstr>Maciek</vt:lpstr>
      <vt:lpstr>Bartek</vt:lpstr>
      <vt:lpstr>Glossary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Ewelina Sobczak</dc:creator>
  <cp:keywords/>
  <dc:description/>
  <cp:lastModifiedBy>Marek Mroz</cp:lastModifiedBy>
  <cp:revision/>
  <dcterms:created xsi:type="dcterms:W3CDTF">2023-05-21T17:30:38Z</dcterms:created>
  <dcterms:modified xsi:type="dcterms:W3CDTF">2025-11-28T09:58:37Z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0x01010078B8F55CB3D666408E33C0EA59ED07A2</vt:lpwstr>
  </property>
</Properties>
</file>