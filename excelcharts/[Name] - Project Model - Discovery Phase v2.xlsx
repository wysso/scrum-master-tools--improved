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mrozo/Desktop/Scrum Master Tool/excelcharts/"/>
    </mc:Choice>
  </mc:AlternateContent>
  <xr:revisionPtr revIDLastSave="0" documentId="13_ncr:9_{65563E3A-D9DB-C849-AB7D-E82774CBD2AE}" xr6:coauthVersionLast="47" xr6:coauthVersionMax="47" xr10:uidLastSave="{00000000-0000-0000-0000-000000000000}"/>
  <bookViews>
    <workbookView xWindow="0" yWindow="620" windowWidth="51100" windowHeight="28180" xr2:uid="{00000000-000D-0000-FFFF-FFFF00000000}"/>
  </bookViews>
  <sheets>
    <sheet name="Chart" sheetId="16" r:id="rId1"/>
    <sheet name="Model_BE" sheetId="27" r:id="rId2"/>
    <sheet name="Model_FE" sheetId="30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="http://schemas.openxmlformats.org/spreadsheetml/2006/main" xmlns:r="http://schemas.openxmlformats.org/officeDocument/2006/relationships" uri="GoogleSheetsCustomDataVersion1">
      <go:sheetsCustomData xmlns:go="http://customooxmlschemas.google.com/" r:id="rId19" roundtripDataSignature="AMtx7mgRHYZyw+2MyrzgPfcoR5XKRBKzKg=="/>
    </ext>
  </extLst>
</workbook>
</file>

<file path=xl/calcChain.xml><?xml version="1.0" encoding="utf-8"?>
<calcChain xmlns="http://purl.oclc.org/ooxml/spreadsheetml/main">
  <c r="F3" i="30" l="1"/>
  <c r="E4" i="30"/>
  <c r="F4" i="30" s="1"/>
  <c r="E5" i="30" s="1"/>
  <c r="E3" i="30"/>
  <c r="F2" i="30"/>
  <c r="E2" i="30"/>
  <c r="F3" i="27"/>
  <c r="E4" i="27"/>
  <c r="F4" i="27" s="1"/>
  <c r="E5" i="27" s="1"/>
  <c r="E3" i="27"/>
  <c r="F2" i="27"/>
  <c r="L3" i="30"/>
  <c r="L4" i="30"/>
  <c r="L5" i="30"/>
  <c r="L6" i="30"/>
  <c r="L7" i="30"/>
  <c r="L8" i="30"/>
  <c r="L9" i="30"/>
  <c r="L10" i="30"/>
  <c r="L11" i="30"/>
  <c r="L12" i="30"/>
  <c r="N12" i="30" s="1"/>
  <c r="M3" i="30"/>
  <c r="M4" i="30"/>
  <c r="M5" i="30"/>
  <c r="M6" i="30"/>
  <c r="M7" i="30"/>
  <c r="M8" i="30"/>
  <c r="M9" i="30"/>
  <c r="M10" i="30"/>
  <c r="M11" i="30"/>
  <c r="M12" i="30"/>
  <c r="O12" i="30" s="1"/>
  <c r="M2" i="30"/>
  <c r="O3" i="30"/>
  <c r="O4" i="30"/>
  <c r="O5" i="30"/>
  <c r="O6" i="30"/>
  <c r="O7" i="30"/>
  <c r="O8" i="30"/>
  <c r="O9" i="30"/>
  <c r="O10" i="30"/>
  <c r="O11" i="30"/>
  <c r="O2" i="30"/>
  <c r="N3" i="30"/>
  <c r="N4" i="30"/>
  <c r="N5" i="30"/>
  <c r="N6" i="30"/>
  <c r="N7" i="30"/>
  <c r="N8" i="30"/>
  <c r="N9" i="30"/>
  <c r="N10" i="30"/>
  <c r="N11" i="30"/>
  <c r="N2" i="30"/>
  <c r="L2" i="30"/>
  <c r="D12" i="30"/>
  <c r="D11" i="30"/>
  <c r="D10" i="30"/>
  <c r="D9" i="30"/>
  <c r="D8" i="30"/>
  <c r="D7" i="30"/>
  <c r="D6" i="30"/>
  <c r="D5" i="30"/>
  <c r="D4" i="30"/>
  <c r="A4" i="30"/>
  <c r="D3" i="30"/>
  <c r="A3" i="30"/>
  <c r="D2" i="30"/>
  <c r="A2" i="30"/>
  <c r="O3" i="27"/>
  <c r="O4" i="27"/>
  <c r="O5" i="27"/>
  <c r="O6" i="27"/>
  <c r="O7" i="27"/>
  <c r="O8" i="27"/>
  <c r="O9" i="27"/>
  <c r="O10" i="27"/>
  <c r="O11" i="27"/>
  <c r="O12" i="27"/>
  <c r="O2" i="27"/>
  <c r="M3" i="27"/>
  <c r="M4" i="27"/>
  <c r="M5" i="27"/>
  <c r="M6" i="27"/>
  <c r="M7" i="27"/>
  <c r="M8" i="27"/>
  <c r="M9" i="27"/>
  <c r="M10" i="27"/>
  <c r="M11" i="27"/>
  <c r="M12" i="27"/>
  <c r="M2" i="27"/>
  <c r="L3" i="27"/>
  <c r="L4" i="27"/>
  <c r="L5" i="27"/>
  <c r="L6" i="27"/>
  <c r="L7" i="27"/>
  <c r="L8" i="27"/>
  <c r="L9" i="27"/>
  <c r="L10" i="27"/>
  <c r="L11" i="27"/>
  <c r="L12" i="27"/>
  <c r="N12" i="27" s="1"/>
  <c r="L2" i="27"/>
  <c r="N3" i="27"/>
  <c r="N4" i="27"/>
  <c r="N5" i="27"/>
  <c r="N6" i="27"/>
  <c r="N7" i="27"/>
  <c r="N8" i="27"/>
  <c r="N9" i="27"/>
  <c r="N10" i="27"/>
  <c r="N11" i="27"/>
  <c r="J3" i="27"/>
  <c r="J4" i="27" s="1"/>
  <c r="J5" i="27" s="1"/>
  <c r="N2" i="27"/>
  <c r="J2" i="27"/>
  <c r="D12" i="27"/>
  <c r="D11" i="27"/>
  <c r="D10" i="27"/>
  <c r="D9" i="27"/>
  <c r="D8" i="27"/>
  <c r="D7" i="27"/>
  <c r="D6" i="27"/>
  <c r="D5" i="27"/>
  <c r="D4" i="27"/>
  <c r="A4" i="27"/>
  <c r="D3" i="27"/>
  <c r="A3" i="27"/>
  <c r="D2" i="27"/>
  <c r="A2" i="27"/>
  <c r="A5" i="30" l="1"/>
  <c r="F5" i="30"/>
  <c r="E6" i="30" s="1"/>
  <c r="A5" i="27"/>
  <c r="F5" i="27"/>
  <c r="E6" i="27" s="1"/>
  <c r="K2" i="30"/>
  <c r="J2" i="30"/>
  <c r="K2" i="27"/>
  <c r="A6" i="30" l="1"/>
  <c r="F6" i="30"/>
  <c r="E7" i="30" s="1"/>
  <c r="F6" i="27"/>
  <c r="E7" i="27" s="1"/>
  <c r="A6" i="27"/>
  <c r="K3" i="30"/>
  <c r="K4" i="30" s="1"/>
  <c r="K5" i="30" s="1"/>
  <c r="K6" i="30" s="1"/>
  <c r="K7" i="30" s="1"/>
  <c r="K8" i="30" s="1"/>
  <c r="K9" i="30" s="1"/>
  <c r="K10" i="30" s="1"/>
  <c r="K11" i="30" s="1"/>
  <c r="K12" i="30" s="1"/>
  <c r="J3" i="30"/>
  <c r="J4" i="30" s="1"/>
  <c r="J5" i="30" s="1"/>
  <c r="J6" i="30" s="1"/>
  <c r="J7" i="30" s="1"/>
  <c r="J8" i="30" s="1"/>
  <c r="J9" i="30" s="1"/>
  <c r="J10" i="30" s="1"/>
  <c r="J11" i="30" s="1"/>
  <c r="J12" i="30" s="1"/>
  <c r="F7" i="30" l="1"/>
  <c r="E8" i="30" s="1"/>
  <c r="A7" i="30"/>
  <c r="A7" i="27"/>
  <c r="F7" i="27"/>
  <c r="E8" i="27" s="1"/>
  <c r="K3" i="27"/>
  <c r="F8" i="30" l="1"/>
  <c r="E9" i="30" s="1"/>
  <c r="A8" i="30"/>
  <c r="F8" i="27"/>
  <c r="E9" i="27" s="1"/>
  <c r="A8" i="27"/>
  <c r="K4" i="27"/>
  <c r="K5" i="27" s="1"/>
  <c r="A9" i="30" l="1"/>
  <c r="F9" i="30"/>
  <c r="E10" i="30" s="1"/>
  <c r="A9" i="27"/>
  <c r="F9" i="27"/>
  <c r="E10" i="27" s="1"/>
  <c r="K6" i="27"/>
  <c r="A10" i="30" l="1"/>
  <c r="F10" i="30"/>
  <c r="E11" i="30" s="1"/>
  <c r="A10" i="27"/>
  <c r="F10" i="27"/>
  <c r="E11" i="27" s="1"/>
  <c r="K7" i="27"/>
  <c r="A11" i="30" l="1"/>
  <c r="F11" i="30"/>
  <c r="E12" i="30" s="1"/>
  <c r="A11" i="27"/>
  <c r="F11" i="27"/>
  <c r="E12" i="27" s="1"/>
  <c r="K8" i="27"/>
  <c r="A12" i="30" l="1"/>
  <c r="F12" i="30"/>
  <c r="A12" i="27"/>
  <c r="F12" i="27"/>
  <c r="K9" i="27"/>
  <c r="K10" i="27" l="1"/>
  <c r="K11" i="27" s="1"/>
  <c r="K12" i="27" s="1"/>
  <c r="J6" i="27"/>
  <c r="J7" i="27" l="1"/>
  <c r="J8" i="27" s="1"/>
  <c r="J9" i="27" l="1"/>
  <c r="J10" i="27" s="1"/>
  <c r="J11" i="27" s="1"/>
  <c r="J12" i="27" s="1"/>
</calcChain>
</file>

<file path=xl/sharedStrings.xml><?xml version="1.0" encoding="utf-8"?>
<sst xmlns="http://purl.oclc.org/ooxml/spreadsheetml/main" count="60" uniqueCount="29">
  <si>
    <t>Month Name</t>
  </si>
  <si>
    <t>Sprint No</t>
  </si>
  <si>
    <t>Sprint</t>
  </si>
  <si>
    <t>Start</t>
  </si>
  <si>
    <t>Stop</t>
  </si>
  <si>
    <t>Working days</t>
  </si>
  <si>
    <t>Devs (FTE)</t>
  </si>
  <si>
    <t>Velo Pes - per day/dev</t>
  </si>
  <si>
    <t>Velo Op - per day/dev</t>
  </si>
  <si>
    <t>45h x 1 dev/sprint</t>
  </si>
  <si>
    <t>35h x 1 dev/sprint</t>
  </si>
  <si>
    <t>03.11-16.11</t>
  </si>
  <si>
    <t>17.11-30.11</t>
  </si>
  <si>
    <t>01.12-14.12</t>
  </si>
  <si>
    <t>15.12-28.12</t>
  </si>
  <si>
    <t>29.12-11.01</t>
  </si>
  <si>
    <t>12.01-25.01</t>
  </si>
  <si>
    <t>26.01-08.02</t>
  </si>
  <si>
    <t>09.02-22.02</t>
  </si>
  <si>
    <t>23.02-08.03</t>
  </si>
  <si>
    <t>08.03-21.03</t>
  </si>
  <si>
    <t>21.03-03.04</t>
  </si>
  <si>
    <t>Original Scope</t>
  </si>
  <si>
    <t>Pessimistic Original Plan</t>
  </si>
  <si>
    <t>Optimal Original Plan</t>
  </si>
  <si>
    <t>Velo Pessimistic per sprint/dev</t>
  </si>
  <si>
    <t>Velocity Optimal per Sprint/dev</t>
  </si>
  <si>
    <t>Pessimistic Plan per Sprint</t>
  </si>
  <si>
    <t>Optimal Plan per Sprint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</si>
</sst>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5" fillId="0" borderId="0" xfId="0" applyFont="1" applyAlignment="1">
      <alignment horizontal="center" vertical="center" wrapText="1"/>
    </xf>
    <xf numFmtId="4" fontId="3" fillId="4" borderId="0" xfId="0" applyNumberFormat="1" applyFont="1" applyFill="1" applyAlignment="1">
      <alignment horizontal="center" vertical="center" wrapText="1"/>
    </xf>
    <xf numFmtId="3" fontId="0" fillId="2" borderId="0" xfId="0" applyNumberFormat="1" applyFill="1"/>
    <xf numFmtId="164" fontId="0" fillId="0" borderId="0" xfId="0" applyNumberFormat="1"/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4" fontId="0" fillId="5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M CS PM engagement maping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85007C"/>
      <color rgb="FF9F23F7"/>
      <color rgb="FFA10EC2"/>
      <color rgb="FFF9EBFC"/>
      <color rgb="FFC574CF"/>
      <color rgb="FFD2ABF7"/>
      <color rgb="FFFFA600"/>
      <color rgb="FF7A5195"/>
      <color rgb="FFEF5675"/>
      <color rgb="FFBC5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purl.oclc.org/ooxml/officeDocument/relationships/customXml" Target="../customXml/item3.xml"/><Relationship Id="rId3" Type="http://purl.oclc.org/ooxml/officeDocument/relationships/worksheet" Target="worksheets/sheet3.xml"/><Relationship Id="rId21" Type="http://purl.oclc.org/ooxml/officeDocument/relationships/styles" Target="styles.xml"/><Relationship Id="rId25" Type="http://purl.oclc.org/ooxml/officeDocument/relationships/customXml" Target="../customXml/item2.xml"/><Relationship Id="rId2" Type="http://purl.oclc.org/ooxml/officeDocument/relationships/worksheet" Target="worksheets/sheet2.xml"/><Relationship Id="rId20" Type="http://purl.oclc.org/ooxml/officeDocument/relationships/theme" Target="theme/theme1.xml"/><Relationship Id="rId1" Type="http://purl.oclc.org/ooxml/officeDocument/relationships/worksheet" Target="worksheets/sheet1.xml"/><Relationship Id="rId24" Type="http://purl.oclc.org/ooxml/officeDocument/relationships/customXml" Target="../customXml/item1.xml"/><Relationship Id="rId23" Type="http://purl.oclc.org/ooxml/officeDocument/relationships/calcChain" Target="calcChain.xml"/><Relationship Id="rId19" Type="http://customschemas.google.com/relationships/workbookmetadata" Target="metadata"/><Relationship Id="rId22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93174542816069E-2"/>
          <c:y val="2.6623667315836926E-2"/>
          <c:w val="0.92841023948158596"/>
          <c:h val="0.82848781557402518"/>
        </c:manualLayout>
      </c:layout>
      <c:lineChart>
        <c:grouping val="standard"/>
        <c:varyColors val="0"/>
        <c:ser>
          <c:idx val="0"/>
          <c:order val="0"/>
          <c:tx>
            <c:strRef>
              <c:f>Model_BE!$I$1</c:f>
              <c:strCache>
                <c:ptCount val="1"/>
                <c:pt idx="0">
                  <c:v>Original Scope</c:v>
                </c:pt>
              </c:strCache>
            </c:strRef>
          </c:tx>
          <c:spPr>
            <a:ln w="19050" cap="rnd">
              <a:solidFill>
                <a:schemeClr val="bg2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15C-E24A-832A-FA3B58A77072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5C-E24A-832A-FA3B58A77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Model_BE!$I$2:$I$12</c:f>
              <c:numCache>
                <c:formatCode>#,##0</c:formatCode>
                <c:ptCount val="11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8-4596-8095-1AFA15BB4537}"/>
            </c:ext>
          </c:extLst>
        </c:ser>
        <c:ser>
          <c:idx val="4"/>
          <c:order val="1"/>
          <c:tx>
            <c:strRef>
              <c:f>Model_BE!$J$1</c:f>
              <c:strCache>
                <c:ptCount val="1"/>
                <c:pt idx="0">
                  <c:v>Pessimistic Original Plan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Model_BE!$J$2:$J$12</c:f>
              <c:numCache>
                <c:formatCode>#,##0</c:formatCode>
                <c:ptCount val="11"/>
                <c:pt idx="0">
                  <c:v>63</c:v>
                </c:pt>
                <c:pt idx="1">
                  <c:v>133</c:v>
                </c:pt>
                <c:pt idx="2">
                  <c:v>203</c:v>
                </c:pt>
                <c:pt idx="3">
                  <c:v>252</c:v>
                </c:pt>
                <c:pt idx="4">
                  <c:v>301</c:v>
                </c:pt>
                <c:pt idx="5">
                  <c:v>371</c:v>
                </c:pt>
                <c:pt idx="6">
                  <c:v>441</c:v>
                </c:pt>
                <c:pt idx="7">
                  <c:v>511</c:v>
                </c:pt>
                <c:pt idx="8">
                  <c:v>581</c:v>
                </c:pt>
                <c:pt idx="9">
                  <c:v>651</c:v>
                </c:pt>
                <c:pt idx="10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D8-4596-8095-1AFA15BB4537}"/>
            </c:ext>
          </c:extLst>
        </c:ser>
        <c:ser>
          <c:idx val="5"/>
          <c:order val="2"/>
          <c:tx>
            <c:strRef>
              <c:f>Model_BE!$K$1</c:f>
              <c:strCache>
                <c:ptCount val="1"/>
                <c:pt idx="0">
                  <c:v>Optimal Original Plan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Model_BE!$C$2:$D$12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Model_BE!$K$2:$K$12</c:f>
              <c:numCache>
                <c:formatCode>#,##0</c:formatCode>
                <c:ptCount val="11"/>
                <c:pt idx="0">
                  <c:v>81</c:v>
                </c:pt>
                <c:pt idx="1">
                  <c:v>171</c:v>
                </c:pt>
                <c:pt idx="2">
                  <c:v>261</c:v>
                </c:pt>
                <c:pt idx="3">
                  <c:v>324</c:v>
                </c:pt>
                <c:pt idx="4">
                  <c:v>387</c:v>
                </c:pt>
                <c:pt idx="5">
                  <c:v>477</c:v>
                </c:pt>
                <c:pt idx="6">
                  <c:v>567</c:v>
                </c:pt>
                <c:pt idx="7">
                  <c:v>657</c:v>
                </c:pt>
                <c:pt idx="8">
                  <c:v>747</c:v>
                </c:pt>
                <c:pt idx="9">
                  <c:v>837</c:v>
                </c:pt>
                <c:pt idx="10">
                  <c:v>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D8-4596-8095-1AFA15BB4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89343"/>
        <c:axId val="1544987423"/>
      </c:lineChart>
      <c:catAx>
        <c:axId val="154498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Only BE</a:t>
                </a:r>
              </a:p>
            </c:rich>
          </c:tx>
          <c:layout>
            <c:manualLayout>
              <c:xMode val="edge"/>
              <c:yMode val="edge"/>
              <c:x val="0.88371236771071748"/>
              <c:y val="3.17211339044835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%">
                  <a:solidFill>
                    <a:schemeClr val="lt1">
                      <a:lumMod val="8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[$]dd/mm/yyyy;@" c16r2:formatcode2="[$-en-PL,1]dd/mm/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%"/>
                <a:alpha val="10%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000" b="0" i="1" u="none" strike="noStrike" kern="1200" baseline="0%">
                <a:solidFill>
                  <a:schemeClr val="bg2">
                    <a:lumMod val="85%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44987423"/>
        <c:crosses val="autoZero"/>
        <c:auto val="1"/>
        <c:lblAlgn val="ctr"/>
        <c:lblOffset val="350"/>
        <c:tickLblSkip val="1"/>
        <c:noMultiLvlLbl val="0"/>
      </c:catAx>
      <c:valAx>
        <c:axId val="1544987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6145661734627282E-2"/>
          <c:y val="4.3478167011166059E-2"/>
          <c:w val="0.1064792056686491"/>
          <c:h val="8.9926681346393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 w="28575">
      <a:solidFill>
        <a:schemeClr val="tx2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93174542816069E-2"/>
          <c:y val="2.6623667315836926E-2"/>
          <c:w val="0.91046891756183679"/>
          <c:h val="0.82848781557402518"/>
        </c:manualLayout>
      </c:layout>
      <c:lineChart>
        <c:grouping val="standard"/>
        <c:varyColors val="0"/>
        <c:ser>
          <c:idx val="0"/>
          <c:order val="0"/>
          <c:tx>
            <c:strRef>
              <c:f>Model_FE!$I$1</c:f>
              <c:strCache>
                <c:ptCount val="1"/>
                <c:pt idx="0">
                  <c:v>Original Scope</c:v>
                </c:pt>
              </c:strCache>
            </c:strRef>
          </c:tx>
          <c:spPr>
            <a:ln w="19050" cap="rnd">
              <a:solidFill>
                <a:schemeClr val="bg2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5D-9F4A-BD23-26689BFD81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%"/>
                          <a:alpha val="54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Model_FE!$I$2:$I$12</c:f>
              <c:numCache>
                <c:formatCode>#,##0</c:formatCode>
                <c:ptCount val="11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A1-B04A-983B-CCC962228744}"/>
            </c:ext>
          </c:extLst>
        </c:ser>
        <c:ser>
          <c:idx val="4"/>
          <c:order val="1"/>
          <c:tx>
            <c:strRef>
              <c:f>Model_FE!$K$1</c:f>
              <c:strCache>
                <c:ptCount val="1"/>
                <c:pt idx="0">
                  <c:v>Optimal Original Plan</c:v>
                </c:pt>
              </c:strCache>
            </c:strRef>
          </c:tx>
          <c:spPr>
            <a:ln w="222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Model_FE!$K$2:$K$12</c:f>
              <c:numCache>
                <c:formatCode>#,##0</c:formatCode>
                <c:ptCount val="11"/>
                <c:pt idx="0">
                  <c:v>60.75</c:v>
                </c:pt>
                <c:pt idx="1">
                  <c:v>128.25</c:v>
                </c:pt>
                <c:pt idx="2">
                  <c:v>195.75</c:v>
                </c:pt>
                <c:pt idx="3">
                  <c:v>243</c:v>
                </c:pt>
                <c:pt idx="4">
                  <c:v>290.25</c:v>
                </c:pt>
                <c:pt idx="5">
                  <c:v>357.75</c:v>
                </c:pt>
                <c:pt idx="6">
                  <c:v>425.25</c:v>
                </c:pt>
                <c:pt idx="7">
                  <c:v>492.75</c:v>
                </c:pt>
                <c:pt idx="8">
                  <c:v>560.25</c:v>
                </c:pt>
                <c:pt idx="9">
                  <c:v>627.75</c:v>
                </c:pt>
                <c:pt idx="10">
                  <c:v>695.25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A1-B04A-983B-CCC962228744}"/>
            </c:ext>
          </c:extLst>
        </c:ser>
        <c:ser>
          <c:idx val="1"/>
          <c:order val="2"/>
          <c:tx>
            <c:strRef>
              <c:f>Model_FE!$J$1</c:f>
              <c:strCache>
                <c:ptCount val="1"/>
                <c:pt idx="0">
                  <c:v>Pessimistic Original Plan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none"/>
          </c:marker>
          <c:cat>
            <c:multiLvlStrRef>
              <c:f>Model_FE!$C$2:$D$12</c:f>
              <c:multiLvlStrCache>
                <c:ptCount val="11"/>
                <c:lvl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  <c:pt idx="4">
                    <c:v>Sprint 5</c:v>
                  </c:pt>
                  <c:pt idx="5">
                    <c:v>Sprint 6</c:v>
                  </c:pt>
                  <c:pt idx="6">
                    <c:v>Sprint 7</c:v>
                  </c:pt>
                  <c:pt idx="7">
                    <c:v>Sprint 8</c:v>
                  </c:pt>
                  <c:pt idx="8">
                    <c:v>Sprint 9</c:v>
                  </c:pt>
                  <c:pt idx="9">
                    <c:v>Sprint 10</c:v>
                  </c:pt>
                  <c:pt idx="10">
                    <c:v>Sprint 11</c:v>
                  </c:pt>
                </c:lvl>
                <c:lvl>
                  <c:pt idx="0">
                    <c:v>03.11-16.11</c:v>
                  </c:pt>
                  <c:pt idx="1">
                    <c:v>17.11-30.11</c:v>
                  </c:pt>
                  <c:pt idx="2">
                    <c:v>01.12-14.12</c:v>
                  </c:pt>
                  <c:pt idx="3">
                    <c:v>15.12-28.12</c:v>
                  </c:pt>
                  <c:pt idx="4">
                    <c:v>29.12-11.01</c:v>
                  </c:pt>
                  <c:pt idx="5">
                    <c:v>12.01-25.01</c:v>
                  </c:pt>
                  <c:pt idx="6">
                    <c:v>26.01-08.02</c:v>
                  </c:pt>
                  <c:pt idx="7">
                    <c:v>09.02-22.02</c:v>
                  </c:pt>
                  <c:pt idx="8">
                    <c:v>23.02-08.03</c:v>
                  </c:pt>
                  <c:pt idx="9">
                    <c:v>08.03-21.03</c:v>
                  </c:pt>
                  <c:pt idx="10">
                    <c:v>21.03-03.04</c:v>
                  </c:pt>
                </c:lvl>
              </c:multiLvlStrCache>
            </c:multiLvlStrRef>
          </c:cat>
          <c:val>
            <c:numRef>
              <c:f>Model_FE!$J$2:$J$12</c:f>
              <c:numCache>
                <c:formatCode>#,##0</c:formatCode>
                <c:ptCount val="11"/>
                <c:pt idx="0">
                  <c:v>47.25</c:v>
                </c:pt>
                <c:pt idx="1">
                  <c:v>99.75</c:v>
                </c:pt>
                <c:pt idx="2">
                  <c:v>152.25</c:v>
                </c:pt>
                <c:pt idx="3">
                  <c:v>189</c:v>
                </c:pt>
                <c:pt idx="4">
                  <c:v>225.75</c:v>
                </c:pt>
                <c:pt idx="5">
                  <c:v>278.25</c:v>
                </c:pt>
                <c:pt idx="6">
                  <c:v>330.75</c:v>
                </c:pt>
                <c:pt idx="7">
                  <c:v>383.25</c:v>
                </c:pt>
                <c:pt idx="8">
                  <c:v>435.75</c:v>
                </c:pt>
                <c:pt idx="9">
                  <c:v>488.25</c:v>
                </c:pt>
                <c:pt idx="10">
                  <c:v>540.75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9E-3D4F-867C-E5564C50B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89343"/>
        <c:axId val="1544987423"/>
      </c:lineChart>
      <c:catAx>
        <c:axId val="154498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%">
                    <a:solidFill>
                      <a:schemeClr val="lt1">
                        <a:lumMod val="8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Only FE</a:t>
                </a:r>
              </a:p>
            </c:rich>
          </c:tx>
          <c:layout>
            <c:manualLayout>
              <c:xMode val="edge"/>
              <c:yMode val="edge"/>
              <c:x val="0.88371236771071748"/>
              <c:y val="3.17211339044835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%">
                  <a:solidFill>
                    <a:schemeClr val="lt1">
                      <a:lumMod val="8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[$]dd/mm/yyyy;@" c16r2:formatcode2="[$-en-PL,1]dd/mm/yy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%"/>
                <a:alpha val="10%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000" b="0" i="1" u="none" strike="noStrike" kern="1200" baseline="0%">
                <a:solidFill>
                  <a:schemeClr val="bg2">
                    <a:lumMod val="85%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44987423"/>
        <c:crosses val="autoZero"/>
        <c:auto val="1"/>
        <c:lblAlgn val="ctr"/>
        <c:lblOffset val="350"/>
        <c:tickLblSkip val="1"/>
        <c:noMultiLvlLbl val="0"/>
      </c:catAx>
      <c:valAx>
        <c:axId val="1544987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2028109883104315E-2"/>
          <c:y val="4.5709845697020829E-2"/>
          <c:w val="8.780707127519595E-2"/>
          <c:h val="8.8839486237027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 w="28575">
      <a:solidFill>
        <a:schemeClr val="tx2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33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%"/>
            <a:alpha val="5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purl.oclc.org/ooxml/drawingml/main" id="233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%"/>
            <a:alpha val="5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20760</xdr:colOff>
      <xdr:row>0</xdr:row>
      <xdr:rowOff>29308</xdr:rowOff>
    </xdr:from>
    <xdr:to>
      <xdr:col>27</xdr:col>
      <xdr:colOff>0</xdr:colOff>
      <xdr:row>72</xdr:row>
      <xdr:rowOff>9769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3DB67-EB8D-40A9-AAE4-FA2D196B6F49}"/>
            </a:ext>
            <a:ext uri="{147F2762-F138-4A5C-976F-8EAC2B608ADB}">
              <a16:predDERef xmlns:a16="http://schemas.microsoft.com/office/drawing/2014/main" pred="{0D42F92A-4597-9F1B-DB5B-7F56DAD33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0</xdr:col>
      <xdr:colOff>0</xdr:colOff>
      <xdr:row>75</xdr:row>
      <xdr:rowOff>23444</xdr:rowOff>
    </xdr:from>
    <xdr:to>
      <xdr:col>26</xdr:col>
      <xdr:colOff>7405076</xdr:colOff>
      <xdr:row>154</xdr:row>
      <xdr:rowOff>58614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81ADB9-8E5F-4F4D-9015-A4E2ADBDC164}"/>
            </a:ext>
            <a:ext uri="{147F2762-F138-4A5C-976F-8EAC2B608ADB}">
              <a16:predDERef xmlns:a16="http://schemas.microsoft.com/office/drawing/2014/main" pred="{0D42F92A-4597-9F1B-DB5B-7F56DAD33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37BD-8C65-4321-8F2D-FB4B287E944F}">
  <sheetPr codeName="Sheet1"/>
  <dimension ref="A2:A4"/>
  <sheetViews>
    <sheetView showGridLines="0" tabSelected="1" zoomScale="130" zoomScaleNormal="130" workbookViewId="0">
      <selection activeCell="C21" sqref="C21"/>
    </sheetView>
  </sheetViews>
  <sheetFormatPr baseColWidth="10" defaultColWidth="0" defaultRowHeight="13" x14ac:dyDescent="0.15"/>
  <cols>
    <col min="1" max="1" width="6.6640625" customWidth="1"/>
    <col min="2" max="2" width="4.5" customWidth="1"/>
    <col min="3" max="3" width="7" customWidth="1"/>
    <col min="4" max="4" width="12.83203125" customWidth="1"/>
    <col min="5" max="5" width="14.5" customWidth="1"/>
    <col min="6" max="6" width="8.6640625" customWidth="1"/>
    <col min="7" max="7" width="8.83203125" customWidth="1"/>
    <col min="8" max="8" width="5.1640625" customWidth="1"/>
    <col min="9" max="9" width="15.5" customWidth="1"/>
    <col min="10" max="14" width="8.6640625" customWidth="1"/>
    <col min="15" max="15" width="8" customWidth="1"/>
    <col min="16" max="24" width="8.6640625" customWidth="1"/>
    <col min="25" max="25" width="7.6640625" customWidth="1"/>
    <col min="26" max="26" width="3" customWidth="1"/>
    <col min="27" max="27" width="98.5" customWidth="1"/>
  </cols>
  <sheetData>
    <row r="2" ht="14" customHeight="1" x14ac:dyDescent="0.15"/>
    <row r="3" ht="13" customHeight="1" x14ac:dyDescent="0.15"/>
    <row r="4" ht="14" customHeight="1" x14ac:dyDescent="0.1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56CE-B9AE-408C-BB9C-FB7D36DA9D24}">
  <sheetPr codeName="Sheet3"/>
  <dimension ref="A1:R31"/>
  <sheetViews>
    <sheetView showGridLines="0" zoomScale="190" zoomScaleNormal="190" workbookViewId="0">
      <selection activeCell="E22" sqref="E22"/>
    </sheetView>
  </sheetViews>
  <sheetFormatPr baseColWidth="10" defaultColWidth="8.6640625" defaultRowHeight="12.75" customHeight="1" x14ac:dyDescent="0.15"/>
  <cols>
    <col min="1" max="1" width="6.1640625" customWidth="1"/>
    <col min="2" max="2" width="5.6640625" customWidth="1"/>
    <col min="3" max="6" width="11.33203125" customWidth="1"/>
    <col min="7" max="9" width="11.1640625" customWidth="1"/>
    <col min="10" max="14" width="11.1640625" style="3" customWidth="1"/>
    <col min="15" max="15" width="12" style="3" customWidth="1"/>
    <col min="16" max="16" width="4.83203125" customWidth="1"/>
    <col min="17" max="17" width="16" customWidth="1"/>
    <col min="18" max="18" width="15.83203125" customWidth="1"/>
  </cols>
  <sheetData>
    <row r="1" spans="1:18" s="5" customFormat="1" ht="56" x14ac:dyDescent="0.15">
      <c r="A1" s="13" t="s">
        <v>0</v>
      </c>
      <c r="B1" s="13" t="s">
        <v>1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Q1" s="6" t="s">
        <v>7</v>
      </c>
      <c r="R1" s="6" t="s">
        <v>8</v>
      </c>
    </row>
    <row r="2" spans="1:18" ht="13" x14ac:dyDescent="0.15">
      <c r="A2" s="14" t="str">
        <f t="shared" ref="A2:A12" si="0">TEXT(E2,"[$-409]MMM")</f>
        <v>Nov</v>
      </c>
      <c r="B2" s="9">
        <v>1</v>
      </c>
      <c r="C2" s="12" t="s">
        <v>11</v>
      </c>
      <c r="D2" s="9" t="str">
        <f t="shared" ref="D2:D12" si="1">$D$1&amp;" "&amp;B2</f>
        <v>Sprint 1</v>
      </c>
      <c r="E2" s="15" t="d">
        <v>2025-11-03</v>
      </c>
      <c r="F2" s="15" t="d">
        <f>E2+13</f>
        <v>2025-11-16</v>
      </c>
      <c r="G2" s="16">
        <v>9</v>
      </c>
      <c r="H2" s="17">
        <v>2</v>
      </c>
      <c r="I2" s="18">
        <v>500</v>
      </c>
      <c r="J2" s="7">
        <f>N2</f>
        <v>63</v>
      </c>
      <c r="K2" s="7">
        <f>O2</f>
        <v>81</v>
      </c>
      <c r="L2" s="8">
        <f>$Q$2*G2</f>
        <v>31.5</v>
      </c>
      <c r="M2" s="8">
        <f>$R$2*G2</f>
        <v>40.5</v>
      </c>
      <c r="N2" s="8">
        <f>L2*H2</f>
        <v>63</v>
      </c>
      <c r="O2" s="8">
        <f>M2*H2</f>
        <v>81</v>
      </c>
      <c r="Q2" s="9">
        <v>3.5</v>
      </c>
      <c r="R2" s="9">
        <v>4.5</v>
      </c>
    </row>
    <row r="3" spans="1:18" ht="13" customHeight="1" x14ac:dyDescent="0.15">
      <c r="A3" s="14" t="str">
        <f t="shared" si="0"/>
        <v>Nov</v>
      </c>
      <c r="B3" s="9">
        <v>2</v>
      </c>
      <c r="C3" s="12" t="s">
        <v>12</v>
      </c>
      <c r="D3" s="9" t="str">
        <f t="shared" si="1"/>
        <v>Sprint 2</v>
      </c>
      <c r="E3" s="15" t="d">
        <f>F2+1</f>
        <v>2025-11-17</v>
      </c>
      <c r="F3" s="15" t="d">
        <f t="shared" ref="F3:F12" si="2">E3+13</f>
        <v>2025-11-30</v>
      </c>
      <c r="G3" s="16">
        <v>10</v>
      </c>
      <c r="H3" s="17">
        <v>2</v>
      </c>
      <c r="I3" s="18">
        <v>500</v>
      </c>
      <c r="J3" s="7">
        <f>J2+N3</f>
        <v>133</v>
      </c>
      <c r="K3" s="7">
        <f>K2+O3</f>
        <v>171</v>
      </c>
      <c r="L3" s="8">
        <f t="shared" ref="L3:L12" si="3">$Q$2*G3</f>
        <v>35</v>
      </c>
      <c r="M3" s="8">
        <f t="shared" ref="M3:M12" si="4">$R$2*G3</f>
        <v>45</v>
      </c>
      <c r="N3" s="8">
        <f t="shared" ref="N3:N12" si="5">L3*H3</f>
        <v>70</v>
      </c>
      <c r="O3" s="8">
        <f t="shared" ref="O3:O12" si="6">M3*H3</f>
        <v>90</v>
      </c>
      <c r="Q3" s="10" t="s">
        <v>10</v>
      </c>
      <c r="R3" s="10" t="s">
        <v>9</v>
      </c>
    </row>
    <row r="4" spans="1:18" ht="13" x14ac:dyDescent="0.15">
      <c r="A4" s="14" t="str">
        <f t="shared" si="0"/>
        <v>Dec</v>
      </c>
      <c r="B4" s="9">
        <v>3</v>
      </c>
      <c r="C4" s="12" t="s">
        <v>13</v>
      </c>
      <c r="D4" s="9" t="str">
        <f t="shared" si="1"/>
        <v>Sprint 3</v>
      </c>
      <c r="E4" s="15" t="d">
        <f t="shared" ref="E4:E12" si="7">F3+1</f>
        <v>2025-12-01</v>
      </c>
      <c r="F4" s="15" t="d">
        <f t="shared" si="2"/>
        <v>2025-12-14</v>
      </c>
      <c r="G4" s="16">
        <v>10</v>
      </c>
      <c r="H4" s="17">
        <v>2</v>
      </c>
      <c r="I4" s="18">
        <v>500</v>
      </c>
      <c r="J4" s="7">
        <f>J3+N4</f>
        <v>203</v>
      </c>
      <c r="K4" s="7">
        <f t="shared" ref="K4:K9" si="8">K3+O4</f>
        <v>261</v>
      </c>
      <c r="L4" s="8">
        <f t="shared" si="3"/>
        <v>35</v>
      </c>
      <c r="M4" s="8">
        <f t="shared" si="4"/>
        <v>45</v>
      </c>
      <c r="N4" s="8">
        <f t="shared" si="5"/>
        <v>70</v>
      </c>
      <c r="O4" s="8">
        <f t="shared" si="6"/>
        <v>90</v>
      </c>
    </row>
    <row r="5" spans="1:18" ht="13" x14ac:dyDescent="0.15">
      <c r="A5" s="14" t="str">
        <f t="shared" si="0"/>
        <v>Dec</v>
      </c>
      <c r="B5" s="9">
        <v>4</v>
      </c>
      <c r="C5" s="12" t="s">
        <v>14</v>
      </c>
      <c r="D5" s="9" t="str">
        <f t="shared" si="1"/>
        <v>Sprint 4</v>
      </c>
      <c r="E5" s="15" t="d">
        <f t="shared" si="7"/>
        <v>2025-12-15</v>
      </c>
      <c r="F5" s="15" t="d">
        <f t="shared" si="2"/>
        <v>2025-12-28</v>
      </c>
      <c r="G5" s="16">
        <v>7</v>
      </c>
      <c r="H5" s="17">
        <v>2</v>
      </c>
      <c r="I5" s="18">
        <v>500</v>
      </c>
      <c r="J5" s="7">
        <f>J4+N5</f>
        <v>252</v>
      </c>
      <c r="K5" s="7">
        <f t="shared" si="8"/>
        <v>324</v>
      </c>
      <c r="L5" s="8">
        <f t="shared" si="3"/>
        <v>24.5</v>
      </c>
      <c r="M5" s="8">
        <f t="shared" si="4"/>
        <v>31.5</v>
      </c>
      <c r="N5" s="8">
        <f t="shared" si="5"/>
        <v>49</v>
      </c>
      <c r="O5" s="8">
        <f t="shared" si="6"/>
        <v>63</v>
      </c>
    </row>
    <row r="6" spans="1:18" ht="13" x14ac:dyDescent="0.15">
      <c r="A6" s="14" t="str">
        <f t="shared" si="0"/>
        <v>Dec</v>
      </c>
      <c r="B6" s="9">
        <v>5</v>
      </c>
      <c r="C6" s="12" t="s">
        <v>15</v>
      </c>
      <c r="D6" s="9" t="str">
        <f t="shared" si="1"/>
        <v>Sprint 5</v>
      </c>
      <c r="E6" s="15" t="d">
        <f t="shared" si="7"/>
        <v>2025-12-29</v>
      </c>
      <c r="F6" s="15" t="d">
        <f t="shared" si="2"/>
        <v>2026-01-11</v>
      </c>
      <c r="G6" s="16">
        <v>7</v>
      </c>
      <c r="H6" s="17">
        <v>2</v>
      </c>
      <c r="I6" s="18">
        <v>500</v>
      </c>
      <c r="J6" s="7">
        <f t="shared" ref="J6:J9" si="9">J5+N6</f>
        <v>301</v>
      </c>
      <c r="K6" s="7">
        <f t="shared" si="8"/>
        <v>387</v>
      </c>
      <c r="L6" s="8">
        <f t="shared" si="3"/>
        <v>24.5</v>
      </c>
      <c r="M6" s="8">
        <f t="shared" si="4"/>
        <v>31.5</v>
      </c>
      <c r="N6" s="8">
        <f t="shared" si="5"/>
        <v>49</v>
      </c>
      <c r="O6" s="8">
        <f t="shared" si="6"/>
        <v>63</v>
      </c>
    </row>
    <row r="7" spans="1:18" ht="13" x14ac:dyDescent="0.15">
      <c r="A7" s="14" t="str">
        <f t="shared" si="0"/>
        <v>Jan</v>
      </c>
      <c r="B7" s="9">
        <v>6</v>
      </c>
      <c r="C7" s="12" t="s">
        <v>16</v>
      </c>
      <c r="D7" s="9" t="str">
        <f t="shared" si="1"/>
        <v>Sprint 6</v>
      </c>
      <c r="E7" s="15" t="d">
        <f t="shared" si="7"/>
        <v>2026-01-12</v>
      </c>
      <c r="F7" s="15" t="d">
        <f t="shared" si="2"/>
        <v>2026-01-25</v>
      </c>
      <c r="G7" s="16">
        <v>10</v>
      </c>
      <c r="H7" s="17">
        <v>2</v>
      </c>
      <c r="I7" s="18">
        <v>500</v>
      </c>
      <c r="J7" s="7">
        <f t="shared" si="9"/>
        <v>371</v>
      </c>
      <c r="K7" s="7">
        <f t="shared" si="8"/>
        <v>477</v>
      </c>
      <c r="L7" s="8">
        <f t="shared" si="3"/>
        <v>35</v>
      </c>
      <c r="M7" s="8">
        <f t="shared" si="4"/>
        <v>45</v>
      </c>
      <c r="N7" s="8">
        <f t="shared" si="5"/>
        <v>70</v>
      </c>
      <c r="O7" s="8">
        <f t="shared" si="6"/>
        <v>90</v>
      </c>
    </row>
    <row r="8" spans="1:18" ht="13" x14ac:dyDescent="0.15">
      <c r="A8" s="14" t="str">
        <f t="shared" si="0"/>
        <v>Jan</v>
      </c>
      <c r="B8" s="9">
        <v>7</v>
      </c>
      <c r="C8" s="12" t="s">
        <v>17</v>
      </c>
      <c r="D8" s="9" t="str">
        <f t="shared" si="1"/>
        <v>Sprint 7</v>
      </c>
      <c r="E8" s="15" t="d">
        <f t="shared" si="7"/>
        <v>2026-01-26</v>
      </c>
      <c r="F8" s="15" t="d">
        <f t="shared" si="2"/>
        <v>2026-02-08</v>
      </c>
      <c r="G8" s="16">
        <v>10</v>
      </c>
      <c r="H8" s="17">
        <v>2</v>
      </c>
      <c r="I8" s="18">
        <v>500</v>
      </c>
      <c r="J8" s="7">
        <f>J7+N8</f>
        <v>441</v>
      </c>
      <c r="K8" s="7">
        <f t="shared" si="8"/>
        <v>567</v>
      </c>
      <c r="L8" s="8">
        <f t="shared" si="3"/>
        <v>35</v>
      </c>
      <c r="M8" s="8">
        <f t="shared" si="4"/>
        <v>45</v>
      </c>
      <c r="N8" s="8">
        <f t="shared" si="5"/>
        <v>70</v>
      </c>
      <c r="O8" s="8">
        <f t="shared" si="6"/>
        <v>90</v>
      </c>
    </row>
    <row r="9" spans="1:18" ht="13" x14ac:dyDescent="0.15">
      <c r="A9" s="14" t="str">
        <f t="shared" si="0"/>
        <v>Feb</v>
      </c>
      <c r="B9" s="9">
        <v>8</v>
      </c>
      <c r="C9" s="12" t="s">
        <v>18</v>
      </c>
      <c r="D9" s="9" t="str">
        <f t="shared" si="1"/>
        <v>Sprint 8</v>
      </c>
      <c r="E9" s="15" t="d">
        <f t="shared" si="7"/>
        <v>2026-02-09</v>
      </c>
      <c r="F9" s="15" t="d">
        <f t="shared" si="2"/>
        <v>2026-02-22</v>
      </c>
      <c r="G9" s="16">
        <v>10</v>
      </c>
      <c r="H9" s="17">
        <v>2</v>
      </c>
      <c r="I9" s="18">
        <v>500</v>
      </c>
      <c r="J9" s="7">
        <f t="shared" si="9"/>
        <v>511</v>
      </c>
      <c r="K9" s="7">
        <f t="shared" si="8"/>
        <v>657</v>
      </c>
      <c r="L9" s="8">
        <f t="shared" si="3"/>
        <v>35</v>
      </c>
      <c r="M9" s="8">
        <f t="shared" si="4"/>
        <v>45</v>
      </c>
      <c r="N9" s="8">
        <f t="shared" si="5"/>
        <v>70</v>
      </c>
      <c r="O9" s="8">
        <f t="shared" si="6"/>
        <v>90</v>
      </c>
    </row>
    <row r="10" spans="1:18" ht="12.75" customHeight="1" x14ac:dyDescent="0.15">
      <c r="A10" s="14" t="str">
        <f t="shared" si="0"/>
        <v>Feb</v>
      </c>
      <c r="B10" s="9">
        <v>9</v>
      </c>
      <c r="C10" s="12" t="s">
        <v>19</v>
      </c>
      <c r="D10" s="9" t="str">
        <f t="shared" si="1"/>
        <v>Sprint 9</v>
      </c>
      <c r="E10" s="15" t="d">
        <f t="shared" si="7"/>
        <v>2026-02-23</v>
      </c>
      <c r="F10" s="15" t="d">
        <f t="shared" si="2"/>
        <v>2026-03-08</v>
      </c>
      <c r="G10" s="16">
        <v>10</v>
      </c>
      <c r="H10" s="17">
        <v>2</v>
      </c>
      <c r="I10" s="18">
        <v>500</v>
      </c>
      <c r="J10" s="7">
        <f>J9+N10</f>
        <v>581</v>
      </c>
      <c r="K10" s="7">
        <f t="shared" ref="K10" si="10">K9+O10</f>
        <v>747</v>
      </c>
      <c r="L10" s="8">
        <f t="shared" si="3"/>
        <v>35</v>
      </c>
      <c r="M10" s="8">
        <f t="shared" si="4"/>
        <v>45</v>
      </c>
      <c r="N10" s="8">
        <f t="shared" si="5"/>
        <v>70</v>
      </c>
      <c r="O10" s="8">
        <f t="shared" si="6"/>
        <v>90</v>
      </c>
    </row>
    <row r="11" spans="1:18" ht="12.75" customHeight="1" x14ac:dyDescent="0.15">
      <c r="A11" s="14" t="str">
        <f t="shared" si="0"/>
        <v>Mar</v>
      </c>
      <c r="B11" s="9">
        <v>10</v>
      </c>
      <c r="C11" s="12" t="s">
        <v>20</v>
      </c>
      <c r="D11" s="9" t="str">
        <f t="shared" si="1"/>
        <v>Sprint 10</v>
      </c>
      <c r="E11" s="15" t="d">
        <f t="shared" si="7"/>
        <v>2026-03-09</v>
      </c>
      <c r="F11" s="15" t="d">
        <f t="shared" si="2"/>
        <v>2026-03-22</v>
      </c>
      <c r="G11" s="16">
        <v>10</v>
      </c>
      <c r="H11" s="17">
        <v>2</v>
      </c>
      <c r="I11" s="18">
        <v>500</v>
      </c>
      <c r="J11" s="7">
        <f>J10+N11</f>
        <v>651</v>
      </c>
      <c r="K11" s="7">
        <f t="shared" ref="K11:K12" si="11">K10+O11</f>
        <v>837</v>
      </c>
      <c r="L11" s="8">
        <f t="shared" si="3"/>
        <v>35</v>
      </c>
      <c r="M11" s="8">
        <f t="shared" si="4"/>
        <v>45</v>
      </c>
      <c r="N11" s="8">
        <f t="shared" si="5"/>
        <v>70</v>
      </c>
      <c r="O11" s="8">
        <f t="shared" si="6"/>
        <v>90</v>
      </c>
    </row>
    <row r="12" spans="1:18" ht="12.75" customHeight="1" x14ac:dyDescent="0.15">
      <c r="A12" s="14" t="str">
        <f t="shared" si="0"/>
        <v>Mar</v>
      </c>
      <c r="B12" s="9">
        <v>11</v>
      </c>
      <c r="C12" s="12" t="s">
        <v>21</v>
      </c>
      <c r="D12" s="9" t="str">
        <f t="shared" si="1"/>
        <v>Sprint 11</v>
      </c>
      <c r="E12" s="15" t="d">
        <f t="shared" si="7"/>
        <v>2026-03-23</v>
      </c>
      <c r="F12" s="15" t="d">
        <f t="shared" si="2"/>
        <v>2026-04-05</v>
      </c>
      <c r="G12" s="16">
        <v>10</v>
      </c>
      <c r="H12" s="17">
        <v>2</v>
      </c>
      <c r="I12" s="18">
        <v>500</v>
      </c>
      <c r="J12" s="7">
        <f>J11+N12</f>
        <v>721</v>
      </c>
      <c r="K12" s="7">
        <f t="shared" si="11"/>
        <v>927</v>
      </c>
      <c r="L12" s="8">
        <f t="shared" si="3"/>
        <v>35</v>
      </c>
      <c r="M12" s="8">
        <f t="shared" si="4"/>
        <v>45</v>
      </c>
      <c r="N12" s="8">
        <f t="shared" si="5"/>
        <v>70</v>
      </c>
      <c r="O12" s="8">
        <f t="shared" si="6"/>
        <v>90</v>
      </c>
    </row>
    <row r="13" spans="1:18" ht="12.75" customHeight="1" x14ac:dyDescent="0.15">
      <c r="E13" s="2"/>
      <c r="F13" s="2"/>
      <c r="H13" s="3"/>
      <c r="J13" s="4"/>
      <c r="K13" s="4"/>
      <c r="L13" s="4"/>
      <c r="M13" s="8"/>
      <c r="N13" s="8"/>
      <c r="O13" s="8"/>
    </row>
    <row r="14" spans="1:18" ht="12.75" customHeight="1" x14ac:dyDescent="0.15">
      <c r="E14" s="2"/>
      <c r="F14" s="2"/>
      <c r="H14" s="3"/>
      <c r="J14" s="4"/>
      <c r="K14" s="4"/>
      <c r="L14" s="4"/>
      <c r="M14" s="8"/>
      <c r="N14" s="8"/>
      <c r="O14" s="8"/>
    </row>
    <row r="15" spans="1:18" ht="12.75" customHeight="1" x14ac:dyDescent="0.15">
      <c r="A15" s="1"/>
      <c r="E15" s="2"/>
      <c r="F15" s="2"/>
      <c r="H15" s="3"/>
      <c r="J15" s="4"/>
      <c r="K15" s="4"/>
      <c r="L15" s="4"/>
      <c r="M15" s="8"/>
      <c r="N15" s="8"/>
      <c r="O15" s="8"/>
    </row>
    <row r="16" spans="1:18" ht="12.75" customHeight="1" x14ac:dyDescent="0.15">
      <c r="E16" s="2"/>
      <c r="F16" s="2"/>
      <c r="H16" s="3"/>
      <c r="J16" s="4"/>
      <c r="K16" s="4"/>
      <c r="L16" s="4"/>
      <c r="M16" s="8"/>
      <c r="N16" s="8"/>
      <c r="O16" s="8"/>
    </row>
    <row r="17" spans="1:15" ht="12.75" customHeight="1" x14ac:dyDescent="0.15">
      <c r="A17" s="1"/>
      <c r="B17" s="1"/>
      <c r="C17" s="1"/>
      <c r="D17" s="1"/>
      <c r="E17" s="1"/>
      <c r="F17" s="1"/>
      <c r="G17" s="1"/>
      <c r="H17" s="3"/>
      <c r="J17" s="4"/>
      <c r="K17" s="4"/>
      <c r="L17" s="4"/>
      <c r="M17" s="8"/>
      <c r="N17" s="8"/>
      <c r="O17" s="8"/>
    </row>
    <row r="18" spans="1:15" ht="12.75" customHeight="1" x14ac:dyDescent="0.15">
      <c r="A18" s="1"/>
      <c r="B18" s="1"/>
      <c r="C18" s="1"/>
      <c r="D18" s="1"/>
      <c r="E18" s="11"/>
      <c r="F18" s="11"/>
      <c r="G18" s="1"/>
      <c r="J18" s="4"/>
      <c r="K18" s="4"/>
      <c r="L18" s="4"/>
    </row>
    <row r="19" spans="1:15" ht="12.75" customHeight="1" x14ac:dyDescent="0.15">
      <c r="A19" s="1"/>
      <c r="B19" s="1"/>
      <c r="C19" s="1"/>
      <c r="D19" s="1"/>
      <c r="E19" s="11"/>
      <c r="F19" s="11"/>
      <c r="G19" s="1"/>
      <c r="J19" s="4"/>
      <c r="K19" s="4"/>
      <c r="L19" s="4"/>
    </row>
    <row r="20" spans="1:15" ht="52" customHeight="1" x14ac:dyDescent="0.15">
      <c r="A20" s="1"/>
      <c r="B20" s="1"/>
      <c r="C20" s="1"/>
      <c r="D20" s="1"/>
      <c r="E20" s="11"/>
      <c r="F20" s="11"/>
      <c r="G20" s="1"/>
      <c r="J20" s="4"/>
      <c r="K20" s="4"/>
      <c r="L20" s="4"/>
    </row>
    <row r="21" spans="1:15" ht="20.25" customHeight="1" x14ac:dyDescent="0.15">
      <c r="A21" s="1"/>
      <c r="B21" s="1"/>
      <c r="C21" s="1"/>
      <c r="D21" s="1"/>
      <c r="E21" s="11"/>
      <c r="F21" s="11"/>
      <c r="G21" s="1"/>
    </row>
    <row r="22" spans="1:15" ht="22.5" customHeight="1" x14ac:dyDescent="0.15">
      <c r="A22" s="1"/>
      <c r="B22" s="1"/>
      <c r="C22" s="1"/>
      <c r="D22" s="1"/>
      <c r="E22" s="11"/>
      <c r="F22" s="11"/>
      <c r="G22" s="1"/>
    </row>
    <row r="23" spans="1:15" ht="12.75" customHeight="1" x14ac:dyDescent="0.15">
      <c r="A23" s="1"/>
      <c r="B23" s="1"/>
      <c r="C23" s="1"/>
      <c r="D23" s="1"/>
      <c r="E23" s="11"/>
      <c r="F23" s="11"/>
      <c r="G23" s="1"/>
    </row>
    <row r="24" spans="1:15" ht="12.75" customHeight="1" x14ac:dyDescent="0.15">
      <c r="A24" s="1"/>
      <c r="B24" s="1"/>
      <c r="C24" s="1"/>
      <c r="D24" s="1"/>
      <c r="E24" s="11"/>
      <c r="F24" s="11"/>
      <c r="G24" s="1"/>
    </row>
    <row r="25" spans="1:15" ht="12.75" customHeight="1" x14ac:dyDescent="0.15">
      <c r="A25" s="1"/>
      <c r="B25" s="1"/>
      <c r="C25" s="1"/>
      <c r="D25" s="1"/>
      <c r="E25" s="11"/>
      <c r="F25" s="11"/>
      <c r="G25" s="1"/>
    </row>
    <row r="26" spans="1:15" ht="12.75" customHeight="1" x14ac:dyDescent="0.15">
      <c r="A26" s="1"/>
      <c r="B26" s="1"/>
      <c r="C26" s="1"/>
      <c r="D26" s="1"/>
      <c r="E26" s="11"/>
      <c r="F26" s="11"/>
      <c r="G26" s="1"/>
    </row>
    <row r="27" spans="1:15" ht="12.75" customHeight="1" x14ac:dyDescent="0.15">
      <c r="A27" s="1"/>
      <c r="B27" s="1"/>
      <c r="C27" s="1"/>
      <c r="D27" s="1"/>
      <c r="E27" s="11"/>
      <c r="F27" s="11"/>
      <c r="G27" s="1"/>
    </row>
    <row r="28" spans="1:15" ht="12.75" customHeight="1" x14ac:dyDescent="0.15">
      <c r="A28" s="1"/>
      <c r="B28" s="1"/>
      <c r="C28" s="1"/>
      <c r="D28" s="1"/>
      <c r="E28" s="11"/>
      <c r="F28" s="11"/>
      <c r="G28" s="1"/>
    </row>
    <row r="29" spans="1:15" ht="12.75" customHeight="1" x14ac:dyDescent="0.15">
      <c r="A29" s="1"/>
      <c r="B29" s="1"/>
      <c r="C29" s="1"/>
      <c r="D29" s="1"/>
      <c r="E29" s="11"/>
      <c r="F29" s="11"/>
      <c r="G29" s="1"/>
    </row>
    <row r="30" spans="1:15" ht="12.75" customHeight="1" x14ac:dyDescent="0.15">
      <c r="A30" s="1"/>
      <c r="B30" s="1"/>
      <c r="C30" s="1"/>
      <c r="D30" s="1"/>
      <c r="E30" s="11"/>
      <c r="F30" s="11"/>
      <c r="G30" s="1"/>
    </row>
    <row r="31" spans="1:15" ht="12.75" customHeight="1" x14ac:dyDescent="0.15">
      <c r="A31" s="1"/>
      <c r="B31" s="1"/>
      <c r="C31" s="1"/>
      <c r="D31" s="1"/>
      <c r="E31" s="11"/>
      <c r="F31" s="11"/>
      <c r="G3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22B2-61A6-7941-A0ED-CD4395488243}">
  <dimension ref="A1:R22"/>
  <sheetViews>
    <sheetView showGridLines="0" zoomScale="190" zoomScaleNormal="190" workbookViewId="0">
      <selection activeCell="F16" sqref="F16"/>
    </sheetView>
  </sheetViews>
  <sheetFormatPr baseColWidth="10" defaultColWidth="8.6640625" defaultRowHeight="12.75" customHeight="1" x14ac:dyDescent="0.15"/>
  <cols>
    <col min="1" max="1" width="6.1640625" customWidth="1"/>
    <col min="2" max="2" width="5.6640625" customWidth="1"/>
    <col min="3" max="6" width="11.33203125" customWidth="1"/>
    <col min="7" max="9" width="11.1640625" customWidth="1"/>
    <col min="10" max="14" width="11.1640625" style="3" customWidth="1"/>
    <col min="15" max="15" width="12" style="3" customWidth="1"/>
    <col min="16" max="16" width="4.83203125" customWidth="1"/>
    <col min="17" max="17" width="16" customWidth="1"/>
    <col min="18" max="18" width="15.83203125" customWidth="1"/>
  </cols>
  <sheetData>
    <row r="1" spans="1:18" s="5" customFormat="1" ht="56" x14ac:dyDescent="0.15">
      <c r="A1" s="13" t="s">
        <v>0</v>
      </c>
      <c r="B1" s="13" t="s">
        <v>1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Q1" s="6" t="s">
        <v>7</v>
      </c>
      <c r="R1" s="6" t="s">
        <v>8</v>
      </c>
    </row>
    <row r="2" spans="1:18" ht="13" x14ac:dyDescent="0.15">
      <c r="A2" s="14" t="str">
        <f t="shared" ref="A2:A12" si="0">TEXT(E2,"[$-409]MMM")</f>
        <v>Nov</v>
      </c>
      <c r="B2" s="9">
        <v>1</v>
      </c>
      <c r="C2" s="12" t="s">
        <v>11</v>
      </c>
      <c r="D2" s="9" t="str">
        <f t="shared" ref="D2:D12" si="1">$D$1&amp;" "&amp;B2</f>
        <v>Sprint 1</v>
      </c>
      <c r="E2" s="15" t="d">
        <f>Model_BE!E2</f>
        <v>2025-11-03</v>
      </c>
      <c r="F2" s="15" t="d">
        <f>E2+13</f>
        <v>2025-11-16</v>
      </c>
      <c r="G2" s="16">
        <v>9</v>
      </c>
      <c r="H2" s="17">
        <v>1.5</v>
      </c>
      <c r="I2" s="18">
        <v>400</v>
      </c>
      <c r="J2" s="7">
        <f>N2</f>
        <v>47.25</v>
      </c>
      <c r="K2" s="7">
        <f>O2</f>
        <v>60.75</v>
      </c>
      <c r="L2" s="8">
        <f>$Q$2*G2</f>
        <v>31.5</v>
      </c>
      <c r="M2" s="8">
        <f>$R$2*G2</f>
        <v>40.5</v>
      </c>
      <c r="N2" s="8">
        <f>L2*H2</f>
        <v>47.25</v>
      </c>
      <c r="O2" s="8">
        <f>M2*H2</f>
        <v>60.75</v>
      </c>
      <c r="Q2" s="9">
        <v>3.5</v>
      </c>
      <c r="R2" s="9">
        <v>4.5</v>
      </c>
    </row>
    <row r="3" spans="1:18" ht="14" x14ac:dyDescent="0.15">
      <c r="A3" s="14" t="str">
        <f t="shared" si="0"/>
        <v>Nov</v>
      </c>
      <c r="B3" s="9">
        <v>2</v>
      </c>
      <c r="C3" s="12" t="s">
        <v>12</v>
      </c>
      <c r="D3" s="9" t="str">
        <f t="shared" si="1"/>
        <v>Sprint 2</v>
      </c>
      <c r="E3" s="15" t="d">
        <f>F2+1</f>
        <v>2025-11-17</v>
      </c>
      <c r="F3" s="15" t="d">
        <f t="shared" ref="F3:F12" si="2">E3+13</f>
        <v>2025-11-30</v>
      </c>
      <c r="G3" s="16">
        <v>10</v>
      </c>
      <c r="H3" s="17">
        <v>1.5</v>
      </c>
      <c r="I3" s="18">
        <v>400</v>
      </c>
      <c r="J3" s="7">
        <f>J2+N3</f>
        <v>99.75</v>
      </c>
      <c r="K3" s="7">
        <f>K2+O3</f>
        <v>128.25</v>
      </c>
      <c r="L3" s="8">
        <f t="shared" ref="L3:L12" si="3">$Q$2*G3</f>
        <v>35</v>
      </c>
      <c r="M3" s="8">
        <f t="shared" ref="M3:M12" si="4">$R$2*G3</f>
        <v>45</v>
      </c>
      <c r="N3" s="8">
        <f t="shared" ref="N3:N12" si="5">L3*H3</f>
        <v>52.5</v>
      </c>
      <c r="O3" s="8">
        <f t="shared" ref="O3:O12" si="6">M3*H3</f>
        <v>67.5</v>
      </c>
      <c r="Q3" s="10" t="s">
        <v>10</v>
      </c>
      <c r="R3" s="10" t="s">
        <v>9</v>
      </c>
    </row>
    <row r="4" spans="1:18" ht="13" x14ac:dyDescent="0.15">
      <c r="A4" s="14" t="str">
        <f t="shared" si="0"/>
        <v>Dec</v>
      </c>
      <c r="B4" s="9">
        <v>3</v>
      </c>
      <c r="C4" s="12" t="s">
        <v>13</v>
      </c>
      <c r="D4" s="9" t="str">
        <f t="shared" si="1"/>
        <v>Sprint 3</v>
      </c>
      <c r="E4" s="15" t="d">
        <f t="shared" ref="E4:E12" si="7">F3+1</f>
        <v>2025-12-01</v>
      </c>
      <c r="F4" s="15" t="d">
        <f t="shared" si="2"/>
        <v>2025-12-14</v>
      </c>
      <c r="G4" s="16">
        <v>10</v>
      </c>
      <c r="H4" s="17">
        <v>1.5</v>
      </c>
      <c r="I4" s="18">
        <v>400</v>
      </c>
      <c r="J4" s="7">
        <f t="shared" ref="J4:K10" si="8">J3+N4</f>
        <v>152.25</v>
      </c>
      <c r="K4" s="7">
        <f t="shared" si="8"/>
        <v>195.75</v>
      </c>
      <c r="L4" s="8">
        <f t="shared" si="3"/>
        <v>35</v>
      </c>
      <c r="M4" s="8">
        <f t="shared" si="4"/>
        <v>45</v>
      </c>
      <c r="N4" s="8">
        <f t="shared" si="5"/>
        <v>52.5</v>
      </c>
      <c r="O4" s="8">
        <f t="shared" si="6"/>
        <v>67.5</v>
      </c>
    </row>
    <row r="5" spans="1:18" ht="13" x14ac:dyDescent="0.15">
      <c r="A5" s="14" t="str">
        <f t="shared" si="0"/>
        <v>Dec</v>
      </c>
      <c r="B5" s="9">
        <v>4</v>
      </c>
      <c r="C5" s="12" t="s">
        <v>14</v>
      </c>
      <c r="D5" s="9" t="str">
        <f t="shared" si="1"/>
        <v>Sprint 4</v>
      </c>
      <c r="E5" s="15" t="d">
        <f t="shared" si="7"/>
        <v>2025-12-15</v>
      </c>
      <c r="F5" s="15" t="d">
        <f t="shared" si="2"/>
        <v>2025-12-28</v>
      </c>
      <c r="G5" s="16">
        <v>7</v>
      </c>
      <c r="H5" s="17">
        <v>1.5</v>
      </c>
      <c r="I5" s="18">
        <v>400</v>
      </c>
      <c r="J5" s="7">
        <f t="shared" si="8"/>
        <v>189</v>
      </c>
      <c r="K5" s="7">
        <f t="shared" si="8"/>
        <v>243</v>
      </c>
      <c r="L5" s="8">
        <f t="shared" si="3"/>
        <v>24.5</v>
      </c>
      <c r="M5" s="8">
        <f t="shared" si="4"/>
        <v>31.5</v>
      </c>
      <c r="N5" s="8">
        <f t="shared" si="5"/>
        <v>36.75</v>
      </c>
      <c r="O5" s="8">
        <f t="shared" si="6"/>
        <v>47.25</v>
      </c>
    </row>
    <row r="6" spans="1:18" ht="13" x14ac:dyDescent="0.15">
      <c r="A6" s="14" t="str">
        <f t="shared" si="0"/>
        <v>Dec</v>
      </c>
      <c r="B6" s="9">
        <v>5</v>
      </c>
      <c r="C6" s="12" t="s">
        <v>15</v>
      </c>
      <c r="D6" s="9" t="str">
        <f t="shared" si="1"/>
        <v>Sprint 5</v>
      </c>
      <c r="E6" s="15" t="d">
        <f t="shared" si="7"/>
        <v>2025-12-29</v>
      </c>
      <c r="F6" s="15" t="d">
        <f t="shared" si="2"/>
        <v>2026-01-11</v>
      </c>
      <c r="G6" s="16">
        <v>7</v>
      </c>
      <c r="H6" s="17">
        <v>1.5</v>
      </c>
      <c r="I6" s="18">
        <v>400</v>
      </c>
      <c r="J6" s="7">
        <f t="shared" si="8"/>
        <v>225.75</v>
      </c>
      <c r="K6" s="7">
        <f t="shared" si="8"/>
        <v>290.25</v>
      </c>
      <c r="L6" s="8">
        <f t="shared" si="3"/>
        <v>24.5</v>
      </c>
      <c r="M6" s="8">
        <f t="shared" si="4"/>
        <v>31.5</v>
      </c>
      <c r="N6" s="8">
        <f t="shared" si="5"/>
        <v>36.75</v>
      </c>
      <c r="O6" s="8">
        <f t="shared" si="6"/>
        <v>47.25</v>
      </c>
    </row>
    <row r="7" spans="1:18" ht="13" x14ac:dyDescent="0.15">
      <c r="A7" s="14" t="str">
        <f t="shared" si="0"/>
        <v>Jan</v>
      </c>
      <c r="B7" s="9">
        <v>6</v>
      </c>
      <c r="C7" s="12" t="s">
        <v>16</v>
      </c>
      <c r="D7" s="9" t="str">
        <f t="shared" si="1"/>
        <v>Sprint 6</v>
      </c>
      <c r="E7" s="15" t="d">
        <f t="shared" si="7"/>
        <v>2026-01-12</v>
      </c>
      <c r="F7" s="15" t="d">
        <f t="shared" si="2"/>
        <v>2026-01-25</v>
      </c>
      <c r="G7" s="16">
        <v>10</v>
      </c>
      <c r="H7" s="17">
        <v>1.5</v>
      </c>
      <c r="I7" s="18">
        <v>400</v>
      </c>
      <c r="J7" s="7">
        <f t="shared" si="8"/>
        <v>278.25</v>
      </c>
      <c r="K7" s="7">
        <f t="shared" si="8"/>
        <v>357.75</v>
      </c>
      <c r="L7" s="8">
        <f t="shared" si="3"/>
        <v>35</v>
      </c>
      <c r="M7" s="8">
        <f t="shared" si="4"/>
        <v>45</v>
      </c>
      <c r="N7" s="8">
        <f t="shared" si="5"/>
        <v>52.5</v>
      </c>
      <c r="O7" s="8">
        <f t="shared" si="6"/>
        <v>67.5</v>
      </c>
    </row>
    <row r="8" spans="1:18" ht="13" x14ac:dyDescent="0.15">
      <c r="A8" s="14" t="str">
        <f t="shared" si="0"/>
        <v>Jan</v>
      </c>
      <c r="B8" s="9">
        <v>7</v>
      </c>
      <c r="C8" s="12" t="s">
        <v>17</v>
      </c>
      <c r="D8" s="9" t="str">
        <f t="shared" si="1"/>
        <v>Sprint 7</v>
      </c>
      <c r="E8" s="15" t="d">
        <f t="shared" si="7"/>
        <v>2026-01-26</v>
      </c>
      <c r="F8" s="15" t="d">
        <f t="shared" si="2"/>
        <v>2026-02-08</v>
      </c>
      <c r="G8" s="16">
        <v>10</v>
      </c>
      <c r="H8" s="17">
        <v>1.5</v>
      </c>
      <c r="I8" s="18">
        <v>400</v>
      </c>
      <c r="J8" s="7">
        <f t="shared" si="8"/>
        <v>330.75</v>
      </c>
      <c r="K8" s="7">
        <f t="shared" si="8"/>
        <v>425.25</v>
      </c>
      <c r="L8" s="8">
        <f t="shared" si="3"/>
        <v>35</v>
      </c>
      <c r="M8" s="8">
        <f t="shared" si="4"/>
        <v>45</v>
      </c>
      <c r="N8" s="8">
        <f t="shared" si="5"/>
        <v>52.5</v>
      </c>
      <c r="O8" s="8">
        <f t="shared" si="6"/>
        <v>67.5</v>
      </c>
    </row>
    <row r="9" spans="1:18" ht="13" x14ac:dyDescent="0.15">
      <c r="A9" s="14" t="str">
        <f t="shared" si="0"/>
        <v>Feb</v>
      </c>
      <c r="B9" s="9">
        <v>8</v>
      </c>
      <c r="C9" s="12" t="s">
        <v>18</v>
      </c>
      <c r="D9" s="9" t="str">
        <f t="shared" si="1"/>
        <v>Sprint 8</v>
      </c>
      <c r="E9" s="15" t="d">
        <f t="shared" si="7"/>
        <v>2026-02-09</v>
      </c>
      <c r="F9" s="15" t="d">
        <f t="shared" si="2"/>
        <v>2026-02-22</v>
      </c>
      <c r="G9" s="16">
        <v>10</v>
      </c>
      <c r="H9" s="17">
        <v>1.5</v>
      </c>
      <c r="I9" s="18">
        <v>400</v>
      </c>
      <c r="J9" s="7">
        <f t="shared" si="8"/>
        <v>383.25</v>
      </c>
      <c r="K9" s="7">
        <f t="shared" si="8"/>
        <v>492.75</v>
      </c>
      <c r="L9" s="8">
        <f t="shared" si="3"/>
        <v>35</v>
      </c>
      <c r="M9" s="8">
        <f t="shared" si="4"/>
        <v>45</v>
      </c>
      <c r="N9" s="8">
        <f t="shared" si="5"/>
        <v>52.5</v>
      </c>
      <c r="O9" s="8">
        <f t="shared" si="6"/>
        <v>67.5</v>
      </c>
    </row>
    <row r="10" spans="1:18" ht="12.75" customHeight="1" x14ac:dyDescent="0.15">
      <c r="A10" s="14" t="str">
        <f t="shared" si="0"/>
        <v>Feb</v>
      </c>
      <c r="B10" s="9">
        <v>9</v>
      </c>
      <c r="C10" s="12" t="s">
        <v>19</v>
      </c>
      <c r="D10" s="9" t="str">
        <f t="shared" si="1"/>
        <v>Sprint 9</v>
      </c>
      <c r="E10" s="15" t="d">
        <f t="shared" si="7"/>
        <v>2026-02-23</v>
      </c>
      <c r="F10" s="15" t="d">
        <f t="shared" si="2"/>
        <v>2026-03-08</v>
      </c>
      <c r="G10" s="16">
        <v>10</v>
      </c>
      <c r="H10" s="17">
        <v>1.5</v>
      </c>
      <c r="I10" s="18">
        <v>400</v>
      </c>
      <c r="J10" s="7">
        <f t="shared" si="8"/>
        <v>435.75</v>
      </c>
      <c r="K10" s="7">
        <f t="shared" si="8"/>
        <v>560.25</v>
      </c>
      <c r="L10" s="8">
        <f t="shared" si="3"/>
        <v>35</v>
      </c>
      <c r="M10" s="8">
        <f t="shared" si="4"/>
        <v>45</v>
      </c>
      <c r="N10" s="8">
        <f t="shared" si="5"/>
        <v>52.5</v>
      </c>
      <c r="O10" s="8">
        <f t="shared" si="6"/>
        <v>67.5</v>
      </c>
    </row>
    <row r="11" spans="1:18" ht="12.75" customHeight="1" x14ac:dyDescent="0.15">
      <c r="A11" s="14" t="str">
        <f t="shared" si="0"/>
        <v>Mar</v>
      </c>
      <c r="B11" s="9">
        <v>10</v>
      </c>
      <c r="C11" s="12" t="s">
        <v>20</v>
      </c>
      <c r="D11" s="9" t="str">
        <f t="shared" si="1"/>
        <v>Sprint 10</v>
      </c>
      <c r="E11" s="15" t="d">
        <f t="shared" si="7"/>
        <v>2026-03-09</v>
      </c>
      <c r="F11" s="15" t="d">
        <f t="shared" si="2"/>
        <v>2026-03-22</v>
      </c>
      <c r="G11" s="16">
        <v>10</v>
      </c>
      <c r="H11" s="17">
        <v>1.5</v>
      </c>
      <c r="I11" s="18">
        <v>400</v>
      </c>
      <c r="J11" s="7">
        <f t="shared" ref="J11:J12" si="9">J10+N11</f>
        <v>488.25</v>
      </c>
      <c r="K11" s="7">
        <f t="shared" ref="K11:K12" si="10">K10+O11</f>
        <v>627.75</v>
      </c>
      <c r="L11" s="8">
        <f t="shared" si="3"/>
        <v>35</v>
      </c>
      <c r="M11" s="8">
        <f t="shared" si="4"/>
        <v>45</v>
      </c>
      <c r="N11" s="8">
        <f t="shared" si="5"/>
        <v>52.5</v>
      </c>
      <c r="O11" s="8">
        <f t="shared" si="6"/>
        <v>67.5</v>
      </c>
    </row>
    <row r="12" spans="1:18" ht="12.75" customHeight="1" x14ac:dyDescent="0.15">
      <c r="A12" s="14" t="str">
        <f t="shared" si="0"/>
        <v>Mar</v>
      </c>
      <c r="B12" s="9">
        <v>11</v>
      </c>
      <c r="C12" s="12" t="s">
        <v>21</v>
      </c>
      <c r="D12" s="9" t="str">
        <f t="shared" si="1"/>
        <v>Sprint 11</v>
      </c>
      <c r="E12" s="15" t="d">
        <f t="shared" si="7"/>
        <v>2026-03-23</v>
      </c>
      <c r="F12" s="15" t="d">
        <f t="shared" si="2"/>
        <v>2026-04-05</v>
      </c>
      <c r="G12" s="16">
        <v>10</v>
      </c>
      <c r="H12" s="17">
        <v>1.5</v>
      </c>
      <c r="I12" s="18">
        <v>400</v>
      </c>
      <c r="J12" s="7">
        <f t="shared" si="9"/>
        <v>540.75</v>
      </c>
      <c r="K12" s="7">
        <f t="shared" si="10"/>
        <v>695.25</v>
      </c>
      <c r="L12" s="8">
        <f t="shared" si="3"/>
        <v>35</v>
      </c>
      <c r="M12" s="8">
        <f t="shared" si="4"/>
        <v>45</v>
      </c>
      <c r="N12" s="8">
        <f t="shared" si="5"/>
        <v>52.5</v>
      </c>
      <c r="O12" s="8">
        <f t="shared" si="6"/>
        <v>67.5</v>
      </c>
    </row>
    <row r="13" spans="1:18" ht="12.75" customHeight="1" x14ac:dyDescent="0.15">
      <c r="E13" s="2"/>
      <c r="F13" s="2"/>
      <c r="H13" s="3"/>
      <c r="J13" s="4"/>
      <c r="K13" s="4"/>
      <c r="L13" s="4"/>
      <c r="M13" s="8"/>
      <c r="N13" s="8"/>
      <c r="O13" s="8"/>
    </row>
    <row r="14" spans="1:18" ht="12.75" customHeight="1" x14ac:dyDescent="0.15">
      <c r="E14" s="2"/>
      <c r="F14" s="2"/>
      <c r="H14" s="3"/>
      <c r="J14" s="4"/>
      <c r="K14" s="4"/>
      <c r="L14" s="4"/>
      <c r="M14" s="8"/>
      <c r="N14" s="8"/>
      <c r="O14" s="8"/>
    </row>
    <row r="15" spans="1:18" ht="12.75" customHeight="1" x14ac:dyDescent="0.15">
      <c r="E15" s="2"/>
      <c r="F15" s="2"/>
      <c r="H15" s="3"/>
      <c r="J15" s="4"/>
      <c r="K15" s="4"/>
      <c r="L15" s="4"/>
      <c r="M15" s="8"/>
      <c r="N15" s="8"/>
      <c r="O15" s="8"/>
    </row>
    <row r="16" spans="1:18" ht="12.75" customHeight="1" x14ac:dyDescent="0.15">
      <c r="E16" s="2"/>
      <c r="F16" s="2"/>
      <c r="H16" s="3"/>
      <c r="J16" s="4"/>
      <c r="K16" s="4"/>
      <c r="L16" s="4"/>
      <c r="M16" s="8"/>
      <c r="N16" s="8"/>
      <c r="O16" s="8"/>
    </row>
    <row r="17" spans="5:15" ht="12.75" customHeight="1" x14ac:dyDescent="0.15">
      <c r="E17" s="2"/>
      <c r="F17" s="2"/>
      <c r="H17" s="3"/>
      <c r="J17" s="4"/>
      <c r="K17" s="4"/>
      <c r="L17" s="4"/>
      <c r="M17" s="8"/>
      <c r="N17" s="8"/>
      <c r="O17" s="8"/>
    </row>
    <row r="18" spans="5:15" ht="12.75" customHeight="1" x14ac:dyDescent="0.15">
      <c r="J18" s="4"/>
      <c r="K18" s="4"/>
      <c r="L18" s="4"/>
    </row>
    <row r="19" spans="5:15" ht="12.75" customHeight="1" x14ac:dyDescent="0.15">
      <c r="J19" s="4"/>
      <c r="K19" s="4"/>
      <c r="L19" s="4"/>
    </row>
    <row r="20" spans="5:15" ht="52" customHeight="1" x14ac:dyDescent="0.15">
      <c r="J20" s="4"/>
      <c r="K20" s="4"/>
      <c r="L20" s="4"/>
    </row>
    <row r="21" spans="5:15" ht="20.25" customHeight="1" x14ac:dyDescent="0.15"/>
    <row r="22" spans="5:15" ht="22.5" customHeight="1" x14ac:dyDescent="0.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5055198394104FAA555E71B2560E7D" ma:contentTypeVersion="3" ma:contentTypeDescription="Create a new document." ma:contentTypeScope="" ma:versionID="51b94b5c7d6f91de5e30d3537a6d1d16">
  <xsd:schema xmlns:xsd="http://www.w3.org/2001/XMLSchema" xmlns:xs="http://www.w3.org/2001/XMLSchema" xmlns:p="http://schemas.microsoft.com/office/2006/metadata/properties" xmlns:ns2="aa2ac78b-e7d7-4c22-9cb3-ffbbbc745cb5" targetNamespace="http://schemas.microsoft.com/office/2006/metadata/properties" ma:root="true" ma:fieldsID="b9480ca8f5b54f215c1f9d5470e7f30c" ns2:_="">
    <xsd:import namespace="aa2ac78b-e7d7-4c22-9cb3-ffbbbc745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ac78b-e7d7-4c22-9cb3-ffbbbc745c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EE752966-DD51-4E18-9760-627343295D93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5B9071E5-23B8-43B8-8EA6-56C909D5D8DE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aa2ac78b-e7d7-4c22-9cb3-ffbbbc745cb5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purl.oclc.org/ooxml/officeDocument/customXml" ds:itemID="{C18CA0CA-5C6F-40C2-B09D-1572955CDB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ac78b-e7d7-4c22-9cb3-ffbbbc745c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Model_BE</vt:lpstr>
      <vt:lpstr>Model_FE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Ewelina Sobczak</dc:creator>
  <cp:keywords/>
  <dc:description/>
  <cp:lastModifiedBy>Marek Mroz</cp:lastModifiedBy>
  <cp:revision/>
  <dcterms:created xsi:type="dcterms:W3CDTF">2023-02-01T09:45:06Z</dcterms:created>
  <dcterms:modified xsi:type="dcterms:W3CDTF">2025-11-28T09:53:46Z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0x010100155055198394104FAA555E71B2560E7D</vt:lpwstr>
  </property>
  <property fmtid="{D5CDD505-2E9C-101B-9397-08002B2CF9AE}" pid="3" name="MediaServiceImageTags">
    <vt:lpwstr/>
  </property>
  <property fmtid="{D5CDD505-2E9C-101B-9397-08002B2CF9AE}" pid="4" name="MSIP_Label_5a612a5d-858c-47c0-96d3-92955940fe19_Enabled">
    <vt:lpwstr>true</vt:lpwstr>
  </property>
  <property fmtid="{D5CDD505-2E9C-101B-9397-08002B2CF9AE}" pid="5" name="MSIP_Label_5a612a5d-858c-47c0-96d3-92955940fe19_SetDate">
    <vt:lpwstr>2025-08-14T07:28:56Z</vt:lpwstr>
  </property>
  <property fmtid="{D5CDD505-2E9C-101B-9397-08002B2CF9AE}" pid="6" name="MSIP_Label_5a612a5d-858c-47c0-96d3-92955940fe19_Method">
    <vt:lpwstr>Privileged</vt:lpwstr>
  </property>
  <property fmtid="{D5CDD505-2E9C-101B-9397-08002B2CF9AE}" pid="7" name="MSIP_Label_5a612a5d-858c-47c0-96d3-92955940fe19_Name">
    <vt:lpwstr>Public (without marking)</vt:lpwstr>
  </property>
  <property fmtid="{D5CDD505-2E9C-101B-9397-08002B2CF9AE}" pid="8" name="MSIP_Label_5a612a5d-858c-47c0-96d3-92955940fe19_SiteId">
    <vt:lpwstr>e21ebe2c-3b5b-4d4c-8d0e-c1ca0e8ea14b</vt:lpwstr>
  </property>
  <property fmtid="{D5CDD505-2E9C-101B-9397-08002B2CF9AE}" pid="9" name="MSIP_Label_5a612a5d-858c-47c0-96d3-92955940fe19_ActionId">
    <vt:lpwstr>068f6936-4449-4d9a-8bae-3af3d97c38aa</vt:lpwstr>
  </property>
  <property fmtid="{D5CDD505-2E9C-101B-9397-08002B2CF9AE}" pid="10" name="MSIP_Label_5a612a5d-858c-47c0-96d3-92955940fe19_ContentBits">
    <vt:lpwstr>0</vt:lpwstr>
  </property>
  <property fmtid="{D5CDD505-2E9C-101B-9397-08002B2CF9AE}" pid="11" name="MSIP_Label_5a612a5d-858c-47c0-96d3-92955940fe19_Tag">
    <vt:lpwstr>50, 0, 1, 1</vt:lpwstr>
  </property>
</Properties>
</file>