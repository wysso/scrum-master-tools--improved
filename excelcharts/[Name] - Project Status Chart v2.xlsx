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mrozo/Desktop/Scrum Master Tool/excelcharts/"/>
    </mc:Choice>
  </mc:AlternateContent>
  <xr:revisionPtr revIDLastSave="0" documentId="13_ncr:9_{5E9F6305-1F59-3449-828E-73339AF2AF92}" xr6:coauthVersionLast="47" xr6:coauthVersionMax="47" xr10:uidLastSave="{00000000-0000-0000-0000-000000000000}"/>
  <bookViews>
    <workbookView xWindow="40" yWindow="620" windowWidth="49460" windowHeight="28180" xr2:uid="{00000000-000D-0000-FFFF-FFFF00000000}"/>
  </bookViews>
  <sheets>
    <sheet name="Chart" sheetId="16" r:id="rId1"/>
    <sheet name="Model_all" sheetId="17" r:id="rId2"/>
    <sheet name="Model_BE" sheetId="27" r:id="rId3"/>
    <sheet name="Model_FE" sheetId="28" r:id="rId4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="http://schemas.openxmlformats.org/spreadsheetml/2006/main" xmlns:r="http://schemas.openxmlformats.org/officeDocument/2006/relationships" uri="GoogleSheetsCustomDataVersion1">
      <go:sheetsCustomData xmlns:go="http://customooxmlschemas.google.com/" r:id="rId19" roundtripDataSignature="AMtx7mgRHYZyw+2MyrzgPfcoR5XKRBKzKg=="/>
    </ext>
  </extLst>
</workbook>
</file>

<file path=xl/calcChain.xml><?xml version="1.0" encoding="utf-8"?>
<calcChain xmlns="http://purl.oclc.org/ooxml/spreadsheetml/main">
  <c r="F3" i="17" l="1"/>
  <c r="E4" i="17"/>
  <c r="F4" i="17" s="1"/>
  <c r="E5" i="17" s="1"/>
  <c r="F5" i="17" s="1"/>
  <c r="E6" i="17" s="1"/>
  <c r="F6" i="17" s="1"/>
  <c r="E7" i="17" s="1"/>
  <c r="F7" i="17" s="1"/>
  <c r="E8" i="17" s="1"/>
  <c r="F8" i="17" s="1"/>
  <c r="E9" i="17" s="1"/>
  <c r="F9" i="17" s="1"/>
  <c r="E10" i="17" s="1"/>
  <c r="F10" i="17" s="1"/>
  <c r="E11" i="17" s="1"/>
  <c r="F11" i="17" s="1"/>
  <c r="E12" i="17" s="1"/>
  <c r="F12" i="17" s="1"/>
  <c r="E3" i="17"/>
  <c r="F2" i="17"/>
  <c r="E2" i="17"/>
  <c r="F3" i="28"/>
  <c r="F4" i="28"/>
  <c r="E5" i="28" s="1"/>
  <c r="F5" i="28" s="1"/>
  <c r="E6" i="28" s="1"/>
  <c r="F6" i="28" s="1"/>
  <c r="E7" i="28" s="1"/>
  <c r="F7" i="28" s="1"/>
  <c r="E8" i="28" s="1"/>
  <c r="F8" i="28" s="1"/>
  <c r="E9" i="28" s="1"/>
  <c r="F9" i="28" s="1"/>
  <c r="E10" i="28" s="1"/>
  <c r="F10" i="28" s="1"/>
  <c r="E11" i="28" s="1"/>
  <c r="F11" i="28" s="1"/>
  <c r="E12" i="28" s="1"/>
  <c r="F12" i="28" s="1"/>
  <c r="E4" i="28"/>
  <c r="E3" i="28"/>
  <c r="F2" i="28"/>
  <c r="E2" i="28"/>
  <c r="F3" i="27"/>
  <c r="F4" i="27"/>
  <c r="E5" i="27" s="1"/>
  <c r="F5" i="27" s="1"/>
  <c r="E6" i="27" s="1"/>
  <c r="F6" i="27" s="1"/>
  <c r="E7" i="27" s="1"/>
  <c r="F7" i="27" s="1"/>
  <c r="E8" i="27" s="1"/>
  <c r="F8" i="27" s="1"/>
  <c r="E9" i="27" s="1"/>
  <c r="F9" i="27" s="1"/>
  <c r="E10" i="27" s="1"/>
  <c r="F10" i="27" s="1"/>
  <c r="E11" i="27" s="1"/>
  <c r="F11" i="27" s="1"/>
  <c r="E12" i="27" s="1"/>
  <c r="F12" i="27" s="1"/>
  <c r="E4" i="27"/>
  <c r="E3" i="27"/>
  <c r="F2" i="27"/>
  <c r="P2" i="27"/>
  <c r="AC2" i="28" l="1"/>
  <c r="J7" i="27"/>
  <c r="J8" i="27" s="1"/>
  <c r="J9" i="27" s="1"/>
  <c r="J10" i="27" s="1"/>
  <c r="J11" i="27" s="1"/>
  <c r="J12" i="27" s="1"/>
  <c r="AC2" i="27" s="1"/>
  <c r="Q3" i="27" l="1"/>
  <c r="Q4" i="27"/>
  <c r="Q5" i="27"/>
  <c r="Q6" i="27"/>
  <c r="Q7" i="27"/>
  <c r="Q8" i="27"/>
  <c r="Q9" i="27"/>
  <c r="Q10" i="27"/>
  <c r="Q11" i="27"/>
  <c r="Q12" i="27"/>
  <c r="K2" i="27"/>
  <c r="K3" i="27" s="1"/>
  <c r="K4" i="27" s="1"/>
  <c r="K5" i="27" s="1"/>
  <c r="K6" i="27" s="1"/>
  <c r="J3" i="17"/>
  <c r="J4" i="17"/>
  <c r="J5" i="17"/>
  <c r="J6" i="17"/>
  <c r="J7" i="17"/>
  <c r="J8" i="17"/>
  <c r="J9" i="17"/>
  <c r="J10" i="17"/>
  <c r="J11" i="17"/>
  <c r="J12" i="17"/>
  <c r="J2" i="17"/>
  <c r="I3" i="17"/>
  <c r="I4" i="17"/>
  <c r="I5" i="17"/>
  <c r="I6" i="17"/>
  <c r="I7" i="17"/>
  <c r="I8" i="17"/>
  <c r="I9" i="17"/>
  <c r="I10" i="17"/>
  <c r="I11" i="17"/>
  <c r="I12" i="17"/>
  <c r="I2" i="17"/>
  <c r="H3" i="17"/>
  <c r="H4" i="17"/>
  <c r="H5" i="17"/>
  <c r="H6" i="17"/>
  <c r="H7" i="17"/>
  <c r="H8" i="17"/>
  <c r="H9" i="17"/>
  <c r="H10" i="17"/>
  <c r="H11" i="17"/>
  <c r="H12" i="17"/>
  <c r="H2" i="17"/>
  <c r="S2" i="17" s="1"/>
  <c r="V3" i="17"/>
  <c r="V4" i="17"/>
  <c r="V5" i="17"/>
  <c r="V6" i="17"/>
  <c r="V2" i="17"/>
  <c r="Q12" i="17"/>
  <c r="P12" i="17"/>
  <c r="D12" i="17"/>
  <c r="A12" i="17"/>
  <c r="Q11" i="17"/>
  <c r="P11" i="17"/>
  <c r="D11" i="17"/>
  <c r="A11" i="17"/>
  <c r="Q10" i="17"/>
  <c r="P10" i="17"/>
  <c r="D10" i="17"/>
  <c r="A10" i="17"/>
  <c r="Q9" i="17"/>
  <c r="P9" i="17"/>
  <c r="D9" i="17"/>
  <c r="A9" i="17"/>
  <c r="Q8" i="17"/>
  <c r="P8" i="17"/>
  <c r="D8" i="17"/>
  <c r="A8" i="17"/>
  <c r="Q7" i="17"/>
  <c r="P7" i="17"/>
  <c r="D7" i="17"/>
  <c r="A7" i="17"/>
  <c r="Q6" i="17"/>
  <c r="P6" i="17"/>
  <c r="D6" i="17"/>
  <c r="A6" i="17"/>
  <c r="Q5" i="17"/>
  <c r="P5" i="17"/>
  <c r="D5" i="17"/>
  <c r="A5" i="17"/>
  <c r="Q4" i="17"/>
  <c r="P4" i="17"/>
  <c r="D4" i="17"/>
  <c r="A4" i="17"/>
  <c r="Q3" i="17"/>
  <c r="P3" i="17"/>
  <c r="D3" i="17"/>
  <c r="A3" i="17"/>
  <c r="Q2" i="17"/>
  <c r="P2" i="17"/>
  <c r="D2" i="17"/>
  <c r="A2" i="17"/>
  <c r="Q12" i="28"/>
  <c r="S12" i="28" s="1"/>
  <c r="P12" i="28"/>
  <c r="R12" i="28" s="1"/>
  <c r="D12" i="28"/>
  <c r="A12" i="28"/>
  <c r="Q11" i="28"/>
  <c r="S11" i="28" s="1"/>
  <c r="P11" i="28"/>
  <c r="R11" i="28" s="1"/>
  <c r="D11" i="28"/>
  <c r="A11" i="28"/>
  <c r="Q10" i="28"/>
  <c r="S10" i="28" s="1"/>
  <c r="P10" i="28"/>
  <c r="R10" i="28" s="1"/>
  <c r="D10" i="28"/>
  <c r="A10" i="28"/>
  <c r="Q9" i="28"/>
  <c r="S9" i="28" s="1"/>
  <c r="P9" i="28"/>
  <c r="R9" i="28" s="1"/>
  <c r="D9" i="28"/>
  <c r="A9" i="28"/>
  <c r="Q8" i="28"/>
  <c r="S8" i="28" s="1"/>
  <c r="P8" i="28"/>
  <c r="R8" i="28" s="1"/>
  <c r="D8" i="28"/>
  <c r="A8" i="28"/>
  <c r="Q7" i="28"/>
  <c r="S7" i="28" s="1"/>
  <c r="P7" i="28"/>
  <c r="R7" i="28" s="1"/>
  <c r="D7" i="28"/>
  <c r="A7" i="28"/>
  <c r="Q6" i="28"/>
  <c r="S6" i="28" s="1"/>
  <c r="P6" i="28"/>
  <c r="R6" i="28" s="1"/>
  <c r="D6" i="28"/>
  <c r="A6" i="28"/>
  <c r="Q5" i="28"/>
  <c r="S5" i="28" s="1"/>
  <c r="P5" i="28"/>
  <c r="R5" i="28" s="1"/>
  <c r="D5" i="28"/>
  <c r="A5" i="28"/>
  <c r="Q4" i="28"/>
  <c r="S4" i="28" s="1"/>
  <c r="P4" i="28"/>
  <c r="R4" i="28" s="1"/>
  <c r="D4" i="28"/>
  <c r="A4" i="28"/>
  <c r="Q3" i="28"/>
  <c r="S3" i="28" s="1"/>
  <c r="P3" i="28"/>
  <c r="R3" i="28" s="1"/>
  <c r="D3" i="28"/>
  <c r="A3" i="28"/>
  <c r="Y2" i="28" a="1"/>
  <c r="Y2" i="28" s="1"/>
  <c r="X2" i="28" a="1"/>
  <c r="X2" i="28" s="1"/>
  <c r="T10" i="28" s="1"/>
  <c r="R2" i="28"/>
  <c r="N2" i="28" s="1"/>
  <c r="Q2" i="28"/>
  <c r="S2" i="28" s="1"/>
  <c r="O2" i="28" s="1"/>
  <c r="P2" i="28"/>
  <c r="K2" i="28"/>
  <c r="D2" i="28"/>
  <c r="A2" i="28"/>
  <c r="D12" i="27"/>
  <c r="A12" i="27"/>
  <c r="D11" i="27"/>
  <c r="A11" i="27"/>
  <c r="D10" i="27"/>
  <c r="A10" i="27"/>
  <c r="D9" i="27"/>
  <c r="A9" i="27"/>
  <c r="D8" i="27"/>
  <c r="A8" i="27"/>
  <c r="D7" i="27"/>
  <c r="A7" i="27"/>
  <c r="D6" i="27"/>
  <c r="A6" i="27"/>
  <c r="D5" i="27"/>
  <c r="A5" i="27"/>
  <c r="D4" i="27"/>
  <c r="A4" i="27"/>
  <c r="D3" i="27"/>
  <c r="A3" i="27"/>
  <c r="D2" i="27"/>
  <c r="A2" i="27"/>
  <c r="Y2" i="27" a="1"/>
  <c r="Y2" i="27" s="1"/>
  <c r="U10" i="27" s="1"/>
  <c r="X2" i="27" a="1"/>
  <c r="X2" i="27" s="1"/>
  <c r="T3" i="27" s="1"/>
  <c r="AC2" i="17" l="1"/>
  <c r="AD2" i="27"/>
  <c r="O3" i="28"/>
  <c r="O4" i="28" s="1"/>
  <c r="AD2" i="28"/>
  <c r="R8" i="17"/>
  <c r="L6" i="27"/>
  <c r="M6" i="27"/>
  <c r="R6" i="17"/>
  <c r="T4" i="28"/>
  <c r="T2" i="28"/>
  <c r="T3" i="28"/>
  <c r="T12" i="28"/>
  <c r="T9" i="28"/>
  <c r="T8" i="28"/>
  <c r="T7" i="28"/>
  <c r="T6" i="28"/>
  <c r="T5" i="28"/>
  <c r="T11" i="28"/>
  <c r="T12" i="27"/>
  <c r="T11" i="27"/>
  <c r="T10" i="27"/>
  <c r="T9" i="27"/>
  <c r="T8" i="27"/>
  <c r="T7" i="27"/>
  <c r="T6" i="27"/>
  <c r="T5" i="27"/>
  <c r="U3" i="27"/>
  <c r="T4" i="27"/>
  <c r="T2" i="27"/>
  <c r="S8" i="17"/>
  <c r="S6" i="17"/>
  <c r="R4" i="17"/>
  <c r="R5" i="17"/>
  <c r="S4" i="17"/>
  <c r="S5" i="17"/>
  <c r="R3" i="17"/>
  <c r="S3" i="17"/>
  <c r="R2" i="17"/>
  <c r="X2" i="17" a="1"/>
  <c r="X2" i="17" s="1"/>
  <c r="S11" i="17"/>
  <c r="R9" i="17"/>
  <c r="S9" i="17"/>
  <c r="R7" i="17"/>
  <c r="R12" i="17"/>
  <c r="S7" i="17"/>
  <c r="S12" i="17"/>
  <c r="R10" i="17"/>
  <c r="R11" i="17"/>
  <c r="S10" i="17"/>
  <c r="Y2" i="17" a="1"/>
  <c r="Y2" i="17" s="1"/>
  <c r="U3" i="17" s="1"/>
  <c r="O5" i="28"/>
  <c r="O6" i="28" s="1"/>
  <c r="O7" i="28" s="1"/>
  <c r="O8" i="28" s="1"/>
  <c r="O9" i="28" s="1"/>
  <c r="O10" i="28" s="1"/>
  <c r="O11" i="28" s="1"/>
  <c r="O12" i="28" s="1"/>
  <c r="U12" i="28"/>
  <c r="U11" i="28"/>
  <c r="U10" i="28"/>
  <c r="U9" i="28"/>
  <c r="U8" i="28"/>
  <c r="U7" i="28"/>
  <c r="U6" i="28"/>
  <c r="U5" i="28"/>
  <c r="U4" i="28"/>
  <c r="U3" i="28"/>
  <c r="U2" i="28"/>
  <c r="K3" i="28"/>
  <c r="K4" i="28" s="1"/>
  <c r="K5" i="28" s="1"/>
  <c r="K6" i="28" s="1"/>
  <c r="N3" i="28"/>
  <c r="N4" i="28" s="1"/>
  <c r="N5" i="28" s="1"/>
  <c r="N6" i="28" s="1"/>
  <c r="N7" i="28" s="1"/>
  <c r="N8" i="28" s="1"/>
  <c r="N9" i="28" s="1"/>
  <c r="N10" i="28" s="1"/>
  <c r="N11" i="28" s="1"/>
  <c r="N12" i="28" s="1"/>
  <c r="U5" i="27"/>
  <c r="U2" i="27"/>
  <c r="U11" i="27"/>
  <c r="U9" i="27"/>
  <c r="U8" i="27"/>
  <c r="U6" i="27"/>
  <c r="U4" i="27"/>
  <c r="U12" i="27"/>
  <c r="U7" i="27"/>
  <c r="L7" i="27" l="1"/>
  <c r="L8" i="27" s="1"/>
  <c r="L9" i="27" s="1"/>
  <c r="L10" i="27" s="1"/>
  <c r="L11" i="27" s="1"/>
  <c r="L12" i="27" s="1"/>
  <c r="M7" i="27"/>
  <c r="M8" i="27" s="1"/>
  <c r="T10" i="17"/>
  <c r="T12" i="17"/>
  <c r="T2" i="17"/>
  <c r="T5" i="17"/>
  <c r="T6" i="17"/>
  <c r="T7" i="17"/>
  <c r="T8" i="17"/>
  <c r="T9" i="17"/>
  <c r="T11" i="17"/>
  <c r="T3" i="17"/>
  <c r="T4" i="17"/>
  <c r="M6" i="28"/>
  <c r="M7" i="28" s="1"/>
  <c r="M8" i="28" s="1"/>
  <c r="M9" i="28" s="1"/>
  <c r="M10" i="28" s="1"/>
  <c r="M11" i="28" s="1"/>
  <c r="M12" i="28" s="1"/>
  <c r="L6" i="28"/>
  <c r="L7" i="28" s="1"/>
  <c r="L8" i="28" s="1"/>
  <c r="L9" i="28" s="1"/>
  <c r="L10" i="28" s="1"/>
  <c r="L11" i="28" s="1"/>
  <c r="L12" i="28" s="1"/>
  <c r="U5" i="17"/>
  <c r="U6" i="17"/>
  <c r="U2" i="17"/>
  <c r="U12" i="17"/>
  <c r="U4" i="17"/>
  <c r="U7" i="17"/>
  <c r="U8" i="17"/>
  <c r="U9" i="17"/>
  <c r="U10" i="17"/>
  <c r="U11" i="17"/>
  <c r="P12" i="27" l="1"/>
  <c r="R12" i="27" s="1"/>
  <c r="S12" i="27"/>
  <c r="S11" i="27"/>
  <c r="P11" i="27"/>
  <c r="R11" i="27" s="1"/>
  <c r="S10" i="27"/>
  <c r="P10" i="27"/>
  <c r="R10" i="27" s="1"/>
  <c r="S9" i="27"/>
  <c r="P9" i="27"/>
  <c r="S8" i="27"/>
  <c r="P8" i="27"/>
  <c r="S7" i="27"/>
  <c r="P7" i="27"/>
  <c r="S6" i="27"/>
  <c r="P6" i="27"/>
  <c r="S5" i="27"/>
  <c r="P5" i="27"/>
  <c r="R5" i="27" s="1"/>
  <c r="S4" i="27"/>
  <c r="P4" i="27"/>
  <c r="R4" i="27" s="1"/>
  <c r="S3" i="27"/>
  <c r="P3" i="27"/>
  <c r="R3" i="27" s="1"/>
  <c r="Q2" i="27"/>
  <c r="S2" i="27" s="1"/>
  <c r="O2" i="27" s="1"/>
  <c r="K3" i="17" l="1"/>
  <c r="K2" i="17"/>
  <c r="K4" i="17"/>
  <c r="R2" i="27"/>
  <c r="N2" i="27" s="1"/>
  <c r="N3" i="27" s="1"/>
  <c r="N4" i="27" s="1"/>
  <c r="N5" i="27" s="1"/>
  <c r="R6" i="27"/>
  <c r="R7" i="27"/>
  <c r="R8" i="27"/>
  <c r="R9" i="27"/>
  <c r="O2" i="17" l="1"/>
  <c r="O3" i="17" s="1"/>
  <c r="O4" i="17" s="1"/>
  <c r="O5" i="17" s="1"/>
  <c r="O6" i="17" s="1"/>
  <c r="O7" i="17" s="1"/>
  <c r="O8" i="17" s="1"/>
  <c r="O9" i="17" s="1"/>
  <c r="O10" i="17" s="1"/>
  <c r="O11" i="17" s="1"/>
  <c r="O12" i="17" s="1"/>
  <c r="N2" i="17"/>
  <c r="N3" i="17" s="1"/>
  <c r="N4" i="17" s="1"/>
  <c r="N5" i="17" s="1"/>
  <c r="N6" i="17" s="1"/>
  <c r="N7" i="17" s="1"/>
  <c r="N8" i="17" s="1"/>
  <c r="N9" i="17" s="1"/>
  <c r="N10" i="17" s="1"/>
  <c r="N11" i="17" s="1"/>
  <c r="N12" i="17" s="1"/>
  <c r="O3" i="27"/>
  <c r="O4" i="27" s="1"/>
  <c r="O5" i="27" s="1"/>
  <c r="N6" i="27"/>
  <c r="N7" i="27" s="1"/>
  <c r="N8" i="27" s="1"/>
  <c r="N9" i="27" s="1"/>
  <c r="N10" i="27" s="1"/>
  <c r="N11" i="27" s="1"/>
  <c r="N12" i="27" s="1"/>
  <c r="K5" i="17"/>
  <c r="O6" i="27" l="1"/>
  <c r="K6" i="17"/>
  <c r="M6" i="17" l="1"/>
  <c r="M7" i="17" s="1"/>
  <c r="M8" i="17" s="1"/>
  <c r="M9" i="17" s="1"/>
  <c r="M10" i="17" s="1"/>
  <c r="M11" i="17" s="1"/>
  <c r="M12" i="17" s="1"/>
  <c r="L6" i="17"/>
  <c r="L7" i="17" s="1"/>
  <c r="L8" i="17" s="1"/>
  <c r="L9" i="17" s="1"/>
  <c r="L10" i="17" s="1"/>
  <c r="L11" i="17" s="1"/>
  <c r="L12" i="17" s="1"/>
  <c r="O7" i="27"/>
  <c r="O8" i="27" l="1"/>
  <c r="M9" i="27" l="1"/>
  <c r="O9" i="27"/>
  <c r="O10" i="27" l="1"/>
  <c r="M10" i="27" l="1"/>
  <c r="O11" i="27"/>
  <c r="O12" i="27" l="1"/>
  <c r="M11" i="27"/>
  <c r="M12" i="27" l="1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<sst xmlns="http://purl.oclc.org/ooxml/spreadsheetml/main" count="123" uniqueCount="41">
  <si>
    <t>Month Name</t>
  </si>
  <si>
    <t>Sprint No</t>
  </si>
  <si>
    <t>Sprint</t>
  </si>
  <si>
    <t>Start</t>
  </si>
  <si>
    <t>Stop</t>
  </si>
  <si>
    <t>Working days</t>
  </si>
  <si>
    <t>Devs (FTE)</t>
  </si>
  <si>
    <t>Velo Pes - per day/dev</t>
  </si>
  <si>
    <t>Velo Op - per day/dev</t>
  </si>
  <si>
    <t>45h x 1 dev/sprint</t>
  </si>
  <si>
    <t>35h x 1 dev/sprint</t>
  </si>
  <si>
    <t>03.11-16.11</t>
  </si>
  <si>
    <t>17.11-30.11</t>
  </si>
  <si>
    <t>01.12-14.12</t>
  </si>
  <si>
    <t>15.12-28.12</t>
  </si>
  <si>
    <t>29.12-11.01</t>
  </si>
  <si>
    <t>12.01-25.01</t>
  </si>
  <si>
    <t>26.01-08.02</t>
  </si>
  <si>
    <t>09.02-22.02</t>
  </si>
  <si>
    <t>P15</t>
  </si>
  <si>
    <t>P50</t>
  </si>
  <si>
    <t>23.02-08.03</t>
  </si>
  <si>
    <t>08.03-21.03</t>
  </si>
  <si>
    <t>21.03-03.04</t>
  </si>
  <si>
    <t>Original Scope</t>
  </si>
  <si>
    <t>Velo Pessimistic per sprint/dev</t>
  </si>
  <si>
    <t>Velocity Optimal per Sprint/dev</t>
  </si>
  <si>
    <t>Trend per Sprint (p50)</t>
  </si>
  <si>
    <t>Trend per Sprint (p15)</t>
  </si>
  <si>
    <t>Backlog Scope</t>
  </si>
  <si>
    <t>Pessimistic Original Plan</t>
  </si>
  <si>
    <t>Delivered Scope [Total]</t>
  </si>
  <si>
    <t>Optimal Original Plan</t>
  </si>
  <si>
    <t>Delivered Scope per Sprint</t>
  </si>
  <si>
    <t>Pessimistic Plan per Sprint</t>
  </si>
  <si>
    <t>Optimal Plan per Sprint</t>
  </si>
  <si>
    <t>P15 Trendline</t>
  </si>
  <si>
    <t>P50 Trendline</t>
  </si>
  <si>
    <t>Project Status</t>
  </si>
  <si>
    <t>Div Scope</t>
  </si>
  <si>
    <t>Additional days to cover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</si>
</sst>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  <font>
      <b/>
      <sz val="14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start/>
      <end/>
      <top/>
      <bottom/>
      <diagonal/>
    </border>
    <border>
      <start style="mediumDashed">
        <color indexed="64"/>
      </start>
      <end style="mediumDashed">
        <color indexed="64"/>
      </end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4" fontId="0" fillId="4" borderId="0" xfId="0" applyNumberFormat="1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164" fontId="0" fillId="4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M CS PM engagement maping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FD5345"/>
      <color rgb="FF85007C"/>
      <color rgb="FF9F23F7"/>
      <color rgb="FFA10EC2"/>
      <color rgb="FFF9EBFC"/>
      <color rgb="FFC574CF"/>
      <color rgb="FFD2ABF7"/>
      <color rgb="FFFFA600"/>
      <color rgb="FF7A5195"/>
      <color rgb="FFEF56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purl.oclc.org/ooxml/officeDocument/relationships/customXml" Target="../customXml/item2.xml"/><Relationship Id="rId3" Type="http://purl.oclc.org/ooxml/officeDocument/relationships/worksheet" Target="worksheets/sheet3.xml"/><Relationship Id="rId21" Type="http://purl.oclc.org/ooxml/officeDocument/relationships/styles" Target="styles.xml"/><Relationship Id="rId25" Type="http://purl.oclc.org/ooxml/officeDocument/relationships/customXml" Target="../customXml/item1.xml"/><Relationship Id="rId2" Type="http://purl.oclc.org/ooxml/officeDocument/relationships/worksheet" Target="worksheets/sheet2.xml"/><Relationship Id="rId20" Type="http://purl.oclc.org/ooxml/officeDocument/relationships/theme" Target="theme/theme1.xml"/><Relationship Id="rId1" Type="http://purl.oclc.org/ooxml/officeDocument/relationships/worksheet" Target="worksheets/sheet1.xml"/><Relationship Id="rId24" Type="http://purl.oclc.org/ooxml/officeDocument/relationships/calcChain" Target="calcChain.xml"/><Relationship Id="rId23" Type="http://purl.oclc.org/ooxml/officeDocument/relationships/sheetMetadata" Target="metadata.xml"/><Relationship Id="rId19" Type="http://customschemas.google.com/relationships/workbookmetadata" Target="metadata"/><Relationship Id="rId4" Type="http://purl.oclc.org/ooxml/officeDocument/relationships/worksheet" Target="worksheets/sheet4.xml"/><Relationship Id="rId22" Type="http://purl.oclc.org/ooxml/officeDocument/relationships/sharedStrings" Target="sharedStrings.xml"/><Relationship Id="rId27" Type="http://purl.oclc.org/ooxml/officeDocument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93174542816069E-2"/>
          <c:y val="2.6623667315836926E-2"/>
          <c:w val="0.9314126816254843"/>
          <c:h val="0.82848781557402518"/>
        </c:manualLayout>
      </c:layout>
      <c:lineChart>
        <c:grouping val="standard"/>
        <c:varyColors val="0"/>
        <c:ser>
          <c:idx val="0"/>
          <c:order val="0"/>
          <c:tx>
            <c:strRef>
              <c:f>Model_all!$I$1</c:f>
              <c:strCache>
                <c:ptCount val="1"/>
                <c:pt idx="0">
                  <c:v>Original Scope</c:v>
                </c:pt>
              </c:strCache>
            </c:strRef>
          </c:tx>
          <c:spPr>
            <a:ln w="19050" cap="rnd">
              <a:solidFill>
                <a:schemeClr val="bg2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Model_all!$I$2:$I$12</c:f>
              <c:numCache>
                <c:formatCode>#,##0</c:formatCode>
                <c:ptCount val="11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A-44D7-94F8-F0ED44CF3237}"/>
            </c:ext>
          </c:extLst>
        </c:ser>
        <c:ser>
          <c:idx val="2"/>
          <c:order val="1"/>
          <c:tx>
            <c:strRef>
              <c:f>Model_all!$J$1</c:f>
              <c:strCache>
                <c:ptCount val="1"/>
                <c:pt idx="0">
                  <c:v>Backlog Scope</c:v>
                </c:pt>
              </c:strCache>
            </c:strRef>
          </c:tx>
          <c:spPr>
            <a:ln w="25400" cap="rnd">
              <a:solidFill>
                <a:schemeClr val="bg2">
                  <a:lumMod val="95%"/>
                </a:schemeClr>
              </a:solidFill>
              <a:prstDash val="dash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50-D740-8EFD-5E37DC89738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50-D740-8EFD-5E37DC89738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50-D740-8EFD-5E37DC89738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50-D740-8EFD-5E37DC89738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50-D740-8EFD-5E37DC89738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FC-5F41-B93E-7850C169C32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B9-7146-AB87-4EF2FF7F8E1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50-D740-8EFD-5E37DC89738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50-D740-8EFD-5E37DC8973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%">
                    <a:solidFill>
                      <a:schemeClr val="accent6">
                        <a:lumMod val="20%"/>
                        <a:lumOff val="8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Model_all!$J$2:$J$12</c:f>
              <c:numCache>
                <c:formatCode>#,##0</c:formatCode>
                <c:ptCount val="11"/>
                <c:pt idx="0">
                  <c:v>900</c:v>
                </c:pt>
                <c:pt idx="1">
                  <c:v>900</c:v>
                </c:pt>
                <c:pt idx="2">
                  <c:v>920</c:v>
                </c:pt>
                <c:pt idx="3">
                  <c:v>940</c:v>
                </c:pt>
                <c:pt idx="4">
                  <c:v>998</c:v>
                </c:pt>
                <c:pt idx="5">
                  <c:v>998</c:v>
                </c:pt>
                <c:pt idx="6">
                  <c:v>998</c:v>
                </c:pt>
                <c:pt idx="7">
                  <c:v>998</c:v>
                </c:pt>
                <c:pt idx="8">
                  <c:v>998</c:v>
                </c:pt>
                <c:pt idx="9">
                  <c:v>998</c:v>
                </c:pt>
                <c:pt idx="10">
                  <c:v>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A-44D7-94F8-F0ED44CF3237}"/>
            </c:ext>
          </c:extLst>
        </c:ser>
        <c:ser>
          <c:idx val="3"/>
          <c:order val="2"/>
          <c:tx>
            <c:strRef>
              <c:f>Model_all!$K$1</c:f>
              <c:strCache>
                <c:ptCount val="1"/>
                <c:pt idx="0">
                  <c:v>Delivered Scope [Total]</c:v>
                </c:pt>
              </c:strCache>
            </c:strRef>
          </c:tx>
          <c:spPr>
            <a:ln w="2540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7.4060856048542584E-3"/>
                  <c:y val="-1.9677974913068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8D-EB4A-B9A8-AC456181D6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Model_all!$K$2:$K$6</c:f>
              <c:numCache>
                <c:formatCode>#,##0</c:formatCode>
                <c:ptCount val="5"/>
                <c:pt idx="0">
                  <c:v>121</c:v>
                </c:pt>
                <c:pt idx="1">
                  <c:v>261</c:v>
                </c:pt>
                <c:pt idx="2">
                  <c:v>393</c:v>
                </c:pt>
                <c:pt idx="3">
                  <c:v>488</c:v>
                </c:pt>
                <c:pt idx="4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6A-44D7-94F8-F0ED44CF3237}"/>
            </c:ext>
          </c:extLst>
        </c:ser>
        <c:ser>
          <c:idx val="4"/>
          <c:order val="3"/>
          <c:tx>
            <c:strRef>
              <c:f>Model_all!$O$1</c:f>
              <c:strCache>
                <c:ptCount val="1"/>
                <c:pt idx="0">
                  <c:v>Optimal Original Plan</c:v>
                </c:pt>
              </c:strCache>
            </c:strRef>
          </c:tx>
          <c:spPr>
            <a:ln w="25400" cap="rnd">
              <a:solidFill>
                <a:schemeClr val="accent6">
                  <a:lumMod val="75%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Model_all!$O$2:$O$12</c:f>
              <c:numCache>
                <c:formatCode>#,##0</c:formatCode>
                <c:ptCount val="11"/>
                <c:pt idx="0">
                  <c:v>121</c:v>
                </c:pt>
                <c:pt idx="1">
                  <c:v>278.5</c:v>
                </c:pt>
                <c:pt idx="2">
                  <c:v>436</c:v>
                </c:pt>
                <c:pt idx="3">
                  <c:v>546.25</c:v>
                </c:pt>
                <c:pt idx="4">
                  <c:v>656.5</c:v>
                </c:pt>
                <c:pt idx="5">
                  <c:v>814</c:v>
                </c:pt>
                <c:pt idx="6">
                  <c:v>971.5</c:v>
                </c:pt>
                <c:pt idx="7">
                  <c:v>1129</c:v>
                </c:pt>
                <c:pt idx="8">
                  <c:v>1286.5</c:v>
                </c:pt>
                <c:pt idx="9">
                  <c:v>1444</c:v>
                </c:pt>
                <c:pt idx="10">
                  <c:v>1601.5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6A-44D7-94F8-F0ED44CF3237}"/>
            </c:ext>
          </c:extLst>
        </c:ser>
        <c:ser>
          <c:idx val="6"/>
          <c:order val="4"/>
          <c:tx>
            <c:strRef>
              <c:f>Model_all!$N$1</c:f>
              <c:strCache>
                <c:ptCount val="1"/>
                <c:pt idx="0">
                  <c:v>Pessimistic Original Plan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Model_all!$N$2:$N$12</c:f>
              <c:numCache>
                <c:formatCode>#,##0</c:formatCode>
                <c:ptCount val="11"/>
                <c:pt idx="0">
                  <c:v>121</c:v>
                </c:pt>
                <c:pt idx="1">
                  <c:v>243.5</c:v>
                </c:pt>
                <c:pt idx="2">
                  <c:v>366</c:v>
                </c:pt>
                <c:pt idx="3">
                  <c:v>451.75</c:v>
                </c:pt>
                <c:pt idx="4">
                  <c:v>537.5</c:v>
                </c:pt>
                <c:pt idx="5">
                  <c:v>660</c:v>
                </c:pt>
                <c:pt idx="6">
                  <c:v>782.5</c:v>
                </c:pt>
                <c:pt idx="7">
                  <c:v>905</c:v>
                </c:pt>
                <c:pt idx="8">
                  <c:v>1027.5</c:v>
                </c:pt>
                <c:pt idx="9">
                  <c:v>1150</c:v>
                </c:pt>
                <c:pt idx="10">
                  <c:v>1272.5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5-439C-A22D-11B48389BF46}"/>
            </c:ext>
          </c:extLst>
        </c:ser>
        <c:ser>
          <c:idx val="1"/>
          <c:order val="5"/>
          <c:tx>
            <c:strRef>
              <c:f>Model_all!$M$1</c:f>
              <c:strCache>
                <c:ptCount val="1"/>
                <c:pt idx="0">
                  <c:v>P50 Trendline</c:v>
                </c:pt>
              </c:strCache>
            </c:strRef>
          </c:tx>
          <c:spPr>
            <a:ln w="25400" cap="rnd">
              <a:solidFill>
                <a:srgbClr val="FFFF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Model_all!$M$2:$M$12</c:f>
              <c:numCache>
                <c:formatCode>#,##0</c:formatCode>
                <c:ptCount val="11"/>
                <c:pt idx="4">
                  <c:v>615</c:v>
                </c:pt>
                <c:pt idx="5">
                  <c:v>742</c:v>
                </c:pt>
                <c:pt idx="6">
                  <c:v>869</c:v>
                </c:pt>
                <c:pt idx="7">
                  <c:v>996</c:v>
                </c:pt>
                <c:pt idx="8">
                  <c:v>1123</c:v>
                </c:pt>
                <c:pt idx="9">
                  <c:v>1250</c:v>
                </c:pt>
                <c:pt idx="10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C-4340-BB89-FECBC9D9A6A4}"/>
            </c:ext>
          </c:extLst>
        </c:ser>
        <c:ser>
          <c:idx val="8"/>
          <c:order val="6"/>
          <c:tx>
            <c:strRef>
              <c:f>Model_all!$L$1</c:f>
              <c:strCache>
                <c:ptCount val="1"/>
                <c:pt idx="0">
                  <c:v>P15 Trendline</c:v>
                </c:pt>
              </c:strCache>
            </c:strRef>
          </c:tx>
          <c:spPr>
            <a:ln w="25400" cap="rnd">
              <a:solidFill>
                <a:srgbClr val="FFFF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Model_all!$L$2:$L$12</c:f>
              <c:numCache>
                <c:formatCode>#,##0</c:formatCode>
                <c:ptCount val="11"/>
                <c:pt idx="4">
                  <c:v>615</c:v>
                </c:pt>
                <c:pt idx="5">
                  <c:v>725.6</c:v>
                </c:pt>
                <c:pt idx="6">
                  <c:v>836.2</c:v>
                </c:pt>
                <c:pt idx="7">
                  <c:v>946.80000000000007</c:v>
                </c:pt>
                <c:pt idx="8">
                  <c:v>1057.4000000000001</c:v>
                </c:pt>
                <c:pt idx="9">
                  <c:v>1168</c:v>
                </c:pt>
                <c:pt idx="10">
                  <c:v>1278.5999999999999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0-D740-8EFD-5E37DC89738E}"/>
            </c:ext>
          </c:extLst>
        </c:ser>
        <c:ser>
          <c:idx val="7"/>
          <c:order val="7"/>
          <c:tx>
            <c:strRef>
              <c:f>Model_all!$V$1</c:f>
              <c:strCache>
                <c:ptCount val="1"/>
                <c:pt idx="0">
                  <c:v>Delivered Scope per Sprint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%">
                    <a:schemeClr val="accent2">
                      <a:lumMod val="60%"/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lumMod val="60%"/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60%"/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%"/>
                    <a:lumOff val="40%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3065706610670339E-2"/>
                  <c:y val="-2.573115746564938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8D-EB4A-B9A8-AC456181D6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Model_all!$V$2:$V$12</c:f>
              <c:numCache>
                <c:formatCode>#,##0</c:formatCode>
                <c:ptCount val="11"/>
                <c:pt idx="0">
                  <c:v>121</c:v>
                </c:pt>
                <c:pt idx="1">
                  <c:v>140</c:v>
                </c:pt>
                <c:pt idx="2">
                  <c:v>132</c:v>
                </c:pt>
                <c:pt idx="3">
                  <c:v>95</c:v>
                </c:pt>
                <c:pt idx="4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0-D740-8EFD-5E37DC89738E}"/>
            </c:ext>
          </c:extLst>
        </c:ser>
        <c:ser>
          <c:idx val="9"/>
          <c:order val="8"/>
          <c:tx>
            <c:strRef>
              <c:f>Model_all!$R$1</c:f>
              <c:strCache>
                <c:ptCount val="1"/>
                <c:pt idx="0">
                  <c:v>Pessimistic Plan per Sprint</c:v>
                </c:pt>
              </c:strCache>
            </c:strRef>
          </c:tx>
          <c:spPr>
            <a:ln w="25400" cap="rnd">
              <a:solidFill>
                <a:srgbClr val="FD5345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Model_all!$C$2:$D$12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Model_all!$R$2:$R$12</c:f>
              <c:numCache>
                <c:formatCode>#,##0.0</c:formatCode>
                <c:ptCount val="11"/>
                <c:pt idx="0">
                  <c:v>110.25</c:v>
                </c:pt>
                <c:pt idx="1">
                  <c:v>122.5</c:v>
                </c:pt>
                <c:pt idx="2">
                  <c:v>122.5</c:v>
                </c:pt>
                <c:pt idx="3">
                  <c:v>85.75</c:v>
                </c:pt>
                <c:pt idx="4">
                  <c:v>85.75</c:v>
                </c:pt>
                <c:pt idx="5">
                  <c:v>122.5</c:v>
                </c:pt>
                <c:pt idx="6">
                  <c:v>122.5</c:v>
                </c:pt>
                <c:pt idx="7">
                  <c:v>122.5</c:v>
                </c:pt>
                <c:pt idx="8">
                  <c:v>122.5</c:v>
                </c:pt>
                <c:pt idx="9">
                  <c:v>122.5</c:v>
                </c:pt>
                <c:pt idx="10">
                  <c:v>122.5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0-D740-8EFD-5E37DC897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989343"/>
        <c:axId val="1544987423"/>
      </c:lineChart>
      <c:catAx>
        <c:axId val="154498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BE+FE</a:t>
                </a:r>
              </a:p>
            </c:rich>
          </c:tx>
          <c:layout>
            <c:manualLayout>
              <c:xMode val="edge"/>
              <c:yMode val="edge"/>
              <c:x val="0.94782028630423132"/>
              <c:y val="3.58770193608772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cap="all" baseline="0%">
                  <a:solidFill>
                    <a:schemeClr val="lt1">
                      <a:lumMod val="8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[$]dd/mm/yyyy;@" c16r2:formatcode2="[$-en-PL,1]dd/mm/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%"/>
                <a:alpha val="10%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400" b="0" i="1" u="none" strike="noStrike" kern="1200" baseline="0%">
                <a:solidFill>
                  <a:schemeClr val="bg2">
                    <a:lumMod val="85%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544987423"/>
        <c:crosses val="autoZero"/>
        <c:auto val="1"/>
        <c:lblAlgn val="ctr"/>
        <c:lblOffset val="350"/>
        <c:tickLblSkip val="1"/>
        <c:noMultiLvlLbl val="0"/>
      </c:catAx>
      <c:valAx>
        <c:axId val="1544987423"/>
        <c:scaling>
          <c:orientation val="minMax"/>
          <c:max val="18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9060368633533582E-2"/>
          <c:y val="4.8210482500260173E-2"/>
          <c:w val="0.10093206143862458"/>
          <c:h val="0.2054058476035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 w="25400">
      <a:solidFill>
        <a:schemeClr val="accent6">
          <a:lumMod val="50%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26465095306715E-2"/>
          <c:y val="2.6623692255514565E-2"/>
          <c:w val="0.92841023948158596"/>
          <c:h val="0.82848781557402518"/>
        </c:manualLayout>
      </c:layout>
      <c:lineChart>
        <c:grouping val="standard"/>
        <c:varyColors val="0"/>
        <c:ser>
          <c:idx val="0"/>
          <c:order val="0"/>
          <c:tx>
            <c:strRef>
              <c:f>Model_BE!$I$1</c:f>
              <c:strCache>
                <c:ptCount val="1"/>
                <c:pt idx="0">
                  <c:v>Original Scope</c:v>
                </c:pt>
              </c:strCache>
            </c:strRef>
          </c:tx>
          <c:spPr>
            <a:ln w="2540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Model_BE!$I$2:$I$12</c:f>
              <c:numCache>
                <c:formatCode>#,##0</c:formatCode>
                <c:ptCount val="11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8-4596-8095-1AFA15BB4537}"/>
            </c:ext>
          </c:extLst>
        </c:ser>
        <c:ser>
          <c:idx val="8"/>
          <c:order val="1"/>
          <c:tx>
            <c:strRef>
              <c:f>Model_BE!$J$1</c:f>
              <c:strCache>
                <c:ptCount val="1"/>
                <c:pt idx="0">
                  <c:v>Backlog Scope</c:v>
                </c:pt>
              </c:strCache>
            </c:strRef>
          </c:tx>
          <c:spPr>
            <a:ln w="25400" cap="rnd">
              <a:solidFill>
                <a:schemeClr val="bg1"/>
              </a:solidFill>
              <a:prstDash val="dash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9.5233368385024501E-3"/>
                  <c:y val="-3.62643801347096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35-6746-AC68-5D4B7BBF798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35-6746-AC68-5D4B7BBF79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35-6746-AC68-5D4B7BBF798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35-6746-AC68-5D4B7BBF798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35-6746-AC68-5D4B7BBF798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35-6746-AC68-5D4B7BBF798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735-6746-AC68-5D4B7BBF798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35-6746-AC68-5D4B7BBF79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735-6746-AC68-5D4B7BBF798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35-6746-AC68-5D4B7BBF7982}"/>
                </c:ext>
              </c:extLst>
            </c:dLbl>
            <c:dLbl>
              <c:idx val="10"/>
              <c:layout>
                <c:manualLayout>
                  <c:x val="-5.9520855240640237E-4"/>
                  <c:y val="-3.3924742706663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35-6746-AC68-5D4B7BBF79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Model_BE!$J$2:$J$12</c:f>
              <c:numCache>
                <c:formatCode>#,##0</c:formatCode>
                <c:ptCount val="11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520</c:v>
                </c:pt>
                <c:pt idx="4">
                  <c:v>578</c:v>
                </c:pt>
                <c:pt idx="5">
                  <c:v>578</c:v>
                </c:pt>
                <c:pt idx="6">
                  <c:v>578</c:v>
                </c:pt>
                <c:pt idx="7">
                  <c:v>578</c:v>
                </c:pt>
                <c:pt idx="8">
                  <c:v>578</c:v>
                </c:pt>
                <c:pt idx="9">
                  <c:v>578</c:v>
                </c:pt>
                <c:pt idx="10">
                  <c:v>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5-6746-AC68-5D4B7BBF7982}"/>
            </c:ext>
          </c:extLst>
        </c:ser>
        <c:ser>
          <c:idx val="3"/>
          <c:order val="2"/>
          <c:tx>
            <c:strRef>
              <c:f>Model_BE!$K$1</c:f>
              <c:strCache>
                <c:ptCount val="1"/>
                <c:pt idx="0">
                  <c:v>Delivered Scope [Total]</c:v>
                </c:pt>
              </c:strCache>
            </c:strRef>
          </c:tx>
          <c:spPr>
            <a:ln w="31750" cap="rnd">
              <a:solidFill>
                <a:schemeClr val="bg2">
                  <a:lumMod val="95%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dLbls>
            <c:dLbl>
              <c:idx val="1"/>
              <c:layout>
                <c:manualLayout>
                  <c:x val="-1.2011308587561222E-2"/>
                  <c:y val="-3.1380340947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DEA-144A-9503-D48E0AFC954D}"/>
                </c:ext>
              </c:extLst>
            </c:dLbl>
            <c:dLbl>
              <c:idx val="2"/>
              <c:layout>
                <c:manualLayout>
                  <c:x val="-1.3201725692374005E-2"/>
                  <c:y val="-5.126725908619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DEA-144A-9503-D48E0AFC95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%">
                    <a:solidFill>
                      <a:schemeClr val="accent6">
                        <a:lumMod val="20%"/>
                        <a:lumOff val="8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Model_BE!$K$2:$K$6</c:f>
              <c:numCache>
                <c:formatCode>#,##0</c:formatCode>
                <c:ptCount val="5"/>
                <c:pt idx="0">
                  <c:v>66</c:v>
                </c:pt>
                <c:pt idx="1">
                  <c:v>146</c:v>
                </c:pt>
                <c:pt idx="2">
                  <c:v>214</c:v>
                </c:pt>
                <c:pt idx="3">
                  <c:v>259</c:v>
                </c:pt>
                <c:pt idx="4">
                  <c:v>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D8-4596-8095-1AFA15BB4537}"/>
            </c:ext>
          </c:extLst>
        </c:ser>
        <c:ser>
          <c:idx val="5"/>
          <c:order val="3"/>
          <c:tx>
            <c:strRef>
              <c:f>Model_BE!$O$1</c:f>
              <c:strCache>
                <c:ptCount val="1"/>
                <c:pt idx="0">
                  <c:v>Optimal Original Plan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Model_BE!$O$2:$O$12</c:f>
              <c:numCache>
                <c:formatCode>#,##0</c:formatCode>
                <c:ptCount val="11"/>
                <c:pt idx="0">
                  <c:v>81</c:v>
                </c:pt>
                <c:pt idx="1">
                  <c:v>171</c:v>
                </c:pt>
                <c:pt idx="2">
                  <c:v>261</c:v>
                </c:pt>
                <c:pt idx="3">
                  <c:v>324</c:v>
                </c:pt>
                <c:pt idx="4">
                  <c:v>387</c:v>
                </c:pt>
                <c:pt idx="5">
                  <c:v>477</c:v>
                </c:pt>
                <c:pt idx="6">
                  <c:v>567</c:v>
                </c:pt>
                <c:pt idx="7">
                  <c:v>657</c:v>
                </c:pt>
                <c:pt idx="8">
                  <c:v>747</c:v>
                </c:pt>
                <c:pt idx="9">
                  <c:v>837</c:v>
                </c:pt>
                <c:pt idx="10">
                  <c:v>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D8-4596-8095-1AFA15BB4537}"/>
            </c:ext>
          </c:extLst>
        </c:ser>
        <c:ser>
          <c:idx val="4"/>
          <c:order val="4"/>
          <c:tx>
            <c:strRef>
              <c:f>Model_BE!$N$1</c:f>
              <c:strCache>
                <c:ptCount val="1"/>
                <c:pt idx="0">
                  <c:v>Pessimistic Original Plan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Model_BE!$N$2:$N$12</c:f>
              <c:numCache>
                <c:formatCode>#,##0</c:formatCode>
                <c:ptCount val="11"/>
                <c:pt idx="0">
                  <c:v>63</c:v>
                </c:pt>
                <c:pt idx="1">
                  <c:v>133</c:v>
                </c:pt>
                <c:pt idx="2">
                  <c:v>203</c:v>
                </c:pt>
                <c:pt idx="3">
                  <c:v>252</c:v>
                </c:pt>
                <c:pt idx="4">
                  <c:v>301</c:v>
                </c:pt>
                <c:pt idx="5">
                  <c:v>371</c:v>
                </c:pt>
                <c:pt idx="6">
                  <c:v>441</c:v>
                </c:pt>
                <c:pt idx="7">
                  <c:v>511</c:v>
                </c:pt>
                <c:pt idx="8">
                  <c:v>581</c:v>
                </c:pt>
                <c:pt idx="9">
                  <c:v>651</c:v>
                </c:pt>
                <c:pt idx="10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D8-4596-8095-1AFA15BB4537}"/>
            </c:ext>
          </c:extLst>
        </c:ser>
        <c:ser>
          <c:idx val="6"/>
          <c:order val="5"/>
          <c:tx>
            <c:strRef>
              <c:f>Model_BE!$V$1</c:f>
              <c:strCache>
                <c:ptCount val="1"/>
                <c:pt idx="0">
                  <c:v>Delivered Scope per Sprint</c:v>
                </c:pt>
              </c:strCache>
            </c:strRef>
          </c:tx>
          <c:spPr>
            <a:ln w="19050" cap="rnd">
              <a:solidFill>
                <a:schemeClr val="accent2">
                  <a:lumMod val="75%"/>
                  <a:lumOff val="25%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diamond"/>
            <c:size val="5"/>
            <c:spPr>
              <a:gradFill rotWithShape="1">
                <a:gsLst>
                  <a:gs pos="0%">
                    <a:schemeClr val="accent1">
                      <a:lumMod val="60%"/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lumMod val="60%"/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60%"/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75%"/>
                    <a:lumOff val="25%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%">
                    <a:solidFill>
                      <a:schemeClr val="accent2">
                        <a:lumMod val="10%"/>
                        <a:lumOff val="9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Model_BE!$V$2:$V$12</c:f>
              <c:numCache>
                <c:formatCode>#,##0</c:formatCode>
                <c:ptCount val="11"/>
                <c:pt idx="0">
                  <c:v>66</c:v>
                </c:pt>
                <c:pt idx="1">
                  <c:v>80</c:v>
                </c:pt>
                <c:pt idx="2">
                  <c:v>68</c:v>
                </c:pt>
                <c:pt idx="3">
                  <c:v>45</c:v>
                </c:pt>
                <c:pt idx="4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D8-4596-8095-1AFA15BB4537}"/>
            </c:ext>
          </c:extLst>
        </c:ser>
        <c:ser>
          <c:idx val="2"/>
          <c:order val="6"/>
          <c:tx>
            <c:strRef>
              <c:f>Model_BE!$R$1</c:f>
              <c:strCache>
                <c:ptCount val="1"/>
                <c:pt idx="0">
                  <c:v>Pessimistic Plan per Sprint</c:v>
                </c:pt>
              </c:strCache>
            </c:strRef>
          </c:tx>
          <c:spPr>
            <a:ln w="12700" cap="rnd">
              <a:solidFill>
                <a:srgbClr val="FD5345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Model_BE!$R$2:$R$12</c:f>
              <c:numCache>
                <c:formatCode>#,##0.0</c:formatCode>
                <c:ptCount val="11"/>
                <c:pt idx="0">
                  <c:v>63</c:v>
                </c:pt>
                <c:pt idx="1">
                  <c:v>70</c:v>
                </c:pt>
                <c:pt idx="2">
                  <c:v>70</c:v>
                </c:pt>
                <c:pt idx="3">
                  <c:v>49</c:v>
                </c:pt>
                <c:pt idx="4">
                  <c:v>49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EA-144A-9503-D48E0AFC954D}"/>
            </c:ext>
          </c:extLst>
        </c:ser>
        <c:ser>
          <c:idx val="1"/>
          <c:order val="7"/>
          <c:tx>
            <c:strRef>
              <c:f>Model_BE!$M$1</c:f>
              <c:strCache>
                <c:ptCount val="1"/>
                <c:pt idx="0">
                  <c:v>P50 Trendline</c:v>
                </c:pt>
              </c:strCache>
            </c:strRef>
          </c:tx>
          <c:spPr>
            <a:ln w="25400" cap="rnd">
              <a:solidFill>
                <a:srgbClr val="FFFF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Model_BE!$M$2:$M$12</c:f>
              <c:numCache>
                <c:formatCode>#,##0</c:formatCode>
                <c:ptCount val="11"/>
                <c:pt idx="4">
                  <c:v>331</c:v>
                </c:pt>
                <c:pt idx="5">
                  <c:v>399</c:v>
                </c:pt>
                <c:pt idx="6">
                  <c:v>467</c:v>
                </c:pt>
                <c:pt idx="7">
                  <c:v>535</c:v>
                </c:pt>
                <c:pt idx="8">
                  <c:v>603</c:v>
                </c:pt>
                <c:pt idx="9">
                  <c:v>671</c:v>
                </c:pt>
                <c:pt idx="10">
                  <c:v>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0-EF41-9812-2803F81F6A59}"/>
            </c:ext>
          </c:extLst>
        </c:ser>
        <c:ser>
          <c:idx val="7"/>
          <c:order val="8"/>
          <c:tx>
            <c:strRef>
              <c:f>Model_BE!$L$1</c:f>
              <c:strCache>
                <c:ptCount val="1"/>
                <c:pt idx="0">
                  <c:v>P15 Trendline</c:v>
                </c:pt>
              </c:strCache>
            </c:strRef>
          </c:tx>
          <c:spPr>
            <a:ln w="25400" cap="rnd">
              <a:solidFill>
                <a:srgbClr val="FFFF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Model_BE!$L$2:$L$12</c:f>
              <c:numCache>
                <c:formatCode>#,##0</c:formatCode>
                <c:ptCount val="11"/>
                <c:pt idx="4">
                  <c:v>331</c:v>
                </c:pt>
                <c:pt idx="5">
                  <c:v>388.6</c:v>
                </c:pt>
                <c:pt idx="6">
                  <c:v>446.20000000000005</c:v>
                </c:pt>
                <c:pt idx="7">
                  <c:v>503.80000000000007</c:v>
                </c:pt>
                <c:pt idx="8">
                  <c:v>561.40000000000009</c:v>
                </c:pt>
                <c:pt idx="9">
                  <c:v>619.00000000000011</c:v>
                </c:pt>
                <c:pt idx="10">
                  <c:v>676.60000000000014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DEA-144A-9503-D48E0AFC9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989343"/>
        <c:axId val="1544987423"/>
      </c:lineChart>
      <c:catAx>
        <c:axId val="154498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Only BE</a:t>
                </a:r>
              </a:p>
            </c:rich>
          </c:tx>
          <c:layout>
            <c:manualLayout>
              <c:xMode val="edge"/>
              <c:yMode val="edge"/>
              <c:x val="0.95013642230226025"/>
              <c:y val="4.91595926439871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%">
                  <a:solidFill>
                    <a:schemeClr val="lt1">
                      <a:lumMod val="8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[$]dd/mm/yyyy;@" c16r2:formatcode2="[$-en-PL,1]dd/mm/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%"/>
                <a:alpha val="10%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400" b="0" i="1" u="none" strike="noStrike" kern="1200" baseline="0%">
                <a:solidFill>
                  <a:schemeClr val="bg2">
                    <a:lumMod val="85%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544987423"/>
        <c:crosses val="autoZero"/>
        <c:auto val="1"/>
        <c:lblAlgn val="ctr"/>
        <c:lblOffset val="350"/>
        <c:tickLblSkip val="1"/>
        <c:noMultiLvlLbl val="0"/>
      </c:catAx>
      <c:valAx>
        <c:axId val="1544987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190555702260112E-2"/>
          <c:y val="7.370985568251967E-2"/>
          <c:w val="0.10058162186269438"/>
          <c:h val="0.19126895209942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 w="28575">
      <a:solidFill>
        <a:schemeClr val="tx2"/>
      </a:solidFill>
      <a:prstDash val="sysDot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93174542816069E-2"/>
          <c:y val="2.6623667315836926E-2"/>
          <c:w val="0.91046891756183679"/>
          <c:h val="0.82848781557402518"/>
        </c:manualLayout>
      </c:layout>
      <c:lineChart>
        <c:grouping val="standard"/>
        <c:varyColors val="0"/>
        <c:ser>
          <c:idx val="0"/>
          <c:order val="0"/>
          <c:tx>
            <c:strRef>
              <c:f>Model_FE!$I$1</c:f>
              <c:strCache>
                <c:ptCount val="1"/>
                <c:pt idx="0">
                  <c:v>Original Scope</c:v>
                </c:pt>
              </c:strCache>
            </c:strRef>
          </c:tx>
          <c:spPr>
            <a:ln w="19050" cap="rnd">
              <a:solidFill>
                <a:schemeClr val="bg2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Model_FE!$I$2:$I$12</c:f>
              <c:numCache>
                <c:formatCode>#,##0</c:formatCode>
                <c:ptCount val="11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A1-B04A-983B-CCC962228744}"/>
            </c:ext>
          </c:extLst>
        </c:ser>
        <c:ser>
          <c:idx val="2"/>
          <c:order val="1"/>
          <c:tx>
            <c:strRef>
              <c:f>Model_FE!$J$1</c:f>
              <c:strCache>
                <c:ptCount val="1"/>
                <c:pt idx="0">
                  <c:v>Backlog Scope</c:v>
                </c:pt>
              </c:strCache>
            </c:strRef>
          </c:tx>
          <c:spPr>
            <a:ln w="25400" cap="rnd">
              <a:solidFill>
                <a:schemeClr val="bg2">
                  <a:lumMod val="95%"/>
                </a:schemeClr>
              </a:solidFill>
              <a:prstDash val="dash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401205564515059E-2"/>
                  <c:y val="-4.23851706036746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04-F34C-9648-A1B368934C3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04-F34C-9648-A1B368934C3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04-F34C-9648-A1B368934C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04-F34C-9648-A1B368934C3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04-F34C-9648-A1B368934C3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04-F34C-9648-A1B368934C3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A1-B04A-983B-CCC96222874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A1-B04A-983B-CCC96222874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3296357577342096E-2"/>
                      <c:h val="3.12900638389697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1A1-B04A-983B-CCC96222874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04-F34C-9648-A1B368934C39}"/>
                </c:ext>
              </c:extLst>
            </c:dLbl>
            <c:dLbl>
              <c:idx val="10"/>
              <c:layout>
                <c:manualLayout>
                  <c:x val="-4.4750003602209614E-3"/>
                  <c:y val="-4.23851706036746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04-F34C-9648-A1B368934C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accent6">
                        <a:lumMod val="20%"/>
                        <a:lumOff val="8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Model_FE!$J$2:$J$12</c:f>
              <c:numCache>
                <c:formatCode>#,##0</c:formatCode>
                <c:ptCount val="11"/>
                <c:pt idx="0">
                  <c:v>400</c:v>
                </c:pt>
                <c:pt idx="1">
                  <c:v>400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420</c:v>
                </c:pt>
                <c:pt idx="7">
                  <c:v>420</c:v>
                </c:pt>
                <c:pt idx="8">
                  <c:v>420</c:v>
                </c:pt>
                <c:pt idx="9">
                  <c:v>420</c:v>
                </c:pt>
                <c:pt idx="10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A1-B04A-983B-CCC962228744}"/>
            </c:ext>
          </c:extLst>
        </c:ser>
        <c:ser>
          <c:idx val="3"/>
          <c:order val="2"/>
          <c:tx>
            <c:strRef>
              <c:f>Model_FE!$K$1</c:f>
              <c:strCache>
                <c:ptCount val="1"/>
                <c:pt idx="0">
                  <c:v>Delivered Scope [Total]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8.9261780738946212E-3"/>
                  <c:y val="-1.8699658993659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71-4F43-B3A2-2948CFFCDD6E}"/>
                </c:ext>
              </c:extLst>
            </c:dLbl>
            <c:dLbl>
              <c:idx val="1"/>
              <c:layout>
                <c:manualLayout>
                  <c:x val="-1.2927728649303452E-2"/>
                  <c:y val="-2.9588951500891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71-4F43-B3A2-2948CFFCDD6E}"/>
                </c:ext>
              </c:extLst>
            </c:dLbl>
            <c:dLbl>
              <c:idx val="2"/>
              <c:layout>
                <c:manualLayout>
                  <c:x val="-1.4773882495457299E-2"/>
                  <c:y val="-2.9588951500891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71-4F43-B3A2-2948CFFCDD6E}"/>
                </c:ext>
              </c:extLst>
            </c:dLbl>
            <c:dLbl>
              <c:idx val="3"/>
              <c:layout>
                <c:manualLayout>
                  <c:x val="-1.2312344033918838E-2"/>
                  <c:y val="-2.4144305247275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71-4F43-B3A2-2948CFFCDD6E}"/>
                </c:ext>
              </c:extLst>
            </c:dLbl>
            <c:dLbl>
              <c:idx val="4"/>
              <c:layout>
                <c:manualLayout>
                  <c:x val="-1.3543113264688067E-2"/>
                  <c:y val="-1.9788588244382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71-4F43-B3A2-2948CFFCDD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Model_FE!$K$2:$K$6</c:f>
              <c:numCache>
                <c:formatCode>#,##0</c:formatCode>
                <c:ptCount val="5"/>
                <c:pt idx="0">
                  <c:v>55</c:v>
                </c:pt>
                <c:pt idx="1">
                  <c:v>115</c:v>
                </c:pt>
                <c:pt idx="2">
                  <c:v>179</c:v>
                </c:pt>
                <c:pt idx="3">
                  <c:v>229</c:v>
                </c:pt>
                <c:pt idx="4">
                  <c:v>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A1-B04A-983B-CCC962228744}"/>
            </c:ext>
          </c:extLst>
        </c:ser>
        <c:ser>
          <c:idx val="5"/>
          <c:order val="3"/>
          <c:tx>
            <c:strRef>
              <c:f>Model_FE!$O$1</c:f>
              <c:strCache>
                <c:ptCount val="1"/>
                <c:pt idx="0">
                  <c:v>Optimal Original Plan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Model_FE!$O$2:$O$12</c:f>
              <c:numCache>
                <c:formatCode>#,##0</c:formatCode>
                <c:ptCount val="11"/>
                <c:pt idx="0">
                  <c:v>60.75</c:v>
                </c:pt>
                <c:pt idx="1">
                  <c:v>128.25</c:v>
                </c:pt>
                <c:pt idx="2">
                  <c:v>195.75</c:v>
                </c:pt>
                <c:pt idx="3">
                  <c:v>243</c:v>
                </c:pt>
                <c:pt idx="4">
                  <c:v>290.25</c:v>
                </c:pt>
                <c:pt idx="5">
                  <c:v>357.75</c:v>
                </c:pt>
                <c:pt idx="6">
                  <c:v>425.25</c:v>
                </c:pt>
                <c:pt idx="7">
                  <c:v>492.75</c:v>
                </c:pt>
                <c:pt idx="8">
                  <c:v>560.25</c:v>
                </c:pt>
                <c:pt idx="9">
                  <c:v>627.75</c:v>
                </c:pt>
                <c:pt idx="10">
                  <c:v>695.25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A1-B04A-983B-CCC962228744}"/>
            </c:ext>
          </c:extLst>
        </c:ser>
        <c:ser>
          <c:idx val="4"/>
          <c:order val="4"/>
          <c:tx>
            <c:strRef>
              <c:f>Model_FE!$N$1</c:f>
              <c:strCache>
                <c:ptCount val="1"/>
                <c:pt idx="0">
                  <c:v>Pessimistic Original Plan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Model_FE!$N$2:$N$12</c:f>
              <c:numCache>
                <c:formatCode>#,##0</c:formatCode>
                <c:ptCount val="11"/>
                <c:pt idx="0">
                  <c:v>47.25</c:v>
                </c:pt>
                <c:pt idx="1">
                  <c:v>99.75</c:v>
                </c:pt>
                <c:pt idx="2">
                  <c:v>152.25</c:v>
                </c:pt>
                <c:pt idx="3">
                  <c:v>189</c:v>
                </c:pt>
                <c:pt idx="4">
                  <c:v>225.75</c:v>
                </c:pt>
                <c:pt idx="5">
                  <c:v>278.25</c:v>
                </c:pt>
                <c:pt idx="6">
                  <c:v>330.75</c:v>
                </c:pt>
                <c:pt idx="7">
                  <c:v>383.25</c:v>
                </c:pt>
                <c:pt idx="8">
                  <c:v>435.75</c:v>
                </c:pt>
                <c:pt idx="9">
                  <c:v>488.25</c:v>
                </c:pt>
                <c:pt idx="10">
                  <c:v>540.75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A1-B04A-983B-CCC962228744}"/>
            </c:ext>
          </c:extLst>
        </c:ser>
        <c:ser>
          <c:idx val="6"/>
          <c:order val="5"/>
          <c:tx>
            <c:strRef>
              <c:f>Model_FE!$V$1</c:f>
              <c:strCache>
                <c:ptCount val="1"/>
                <c:pt idx="0">
                  <c:v>Delivered Scope per Sprint</c:v>
                </c:pt>
              </c:strCache>
            </c:strRef>
          </c:tx>
          <c:spPr>
            <a:ln w="25400" cap="rnd">
              <a:solidFill>
                <a:schemeClr val="accent2">
                  <a:lumMod val="75%"/>
                  <a:lumOff val="25%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diamond"/>
            <c:size val="5"/>
            <c:spPr>
              <a:gradFill rotWithShape="1">
                <a:gsLst>
                  <a:gs pos="0%">
                    <a:schemeClr val="accent1">
                      <a:lumMod val="60%"/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lumMod val="60%"/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60%"/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75%"/>
                    <a:lumOff val="25%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%">
                    <a:solidFill>
                      <a:schemeClr val="accent2">
                        <a:lumMod val="10%"/>
                        <a:lumOff val="9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Model_FE!$V$2:$V$12</c:f>
              <c:numCache>
                <c:formatCode>#,##0</c:formatCode>
                <c:ptCount val="11"/>
                <c:pt idx="0">
                  <c:v>55</c:v>
                </c:pt>
                <c:pt idx="1">
                  <c:v>60</c:v>
                </c:pt>
                <c:pt idx="2">
                  <c:v>64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A1-B04A-983B-CCC962228744}"/>
            </c:ext>
          </c:extLst>
        </c:ser>
        <c:ser>
          <c:idx val="8"/>
          <c:order val="6"/>
          <c:tx>
            <c:strRef>
              <c:f>Model_FE!$R$1</c:f>
              <c:strCache>
                <c:ptCount val="1"/>
                <c:pt idx="0">
                  <c:v>Pessimistic Plan per Sprint</c:v>
                </c:pt>
              </c:strCache>
            </c:strRef>
          </c:tx>
          <c:spPr>
            <a:ln w="25400" cap="rnd">
              <a:solidFill>
                <a:srgbClr val="FD5345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Model_FE!$R$2:$R$12</c:f>
              <c:numCache>
                <c:formatCode>#,##0.0</c:formatCode>
                <c:ptCount val="11"/>
                <c:pt idx="0">
                  <c:v>47.25</c:v>
                </c:pt>
                <c:pt idx="1">
                  <c:v>52.5</c:v>
                </c:pt>
                <c:pt idx="2">
                  <c:v>52.5</c:v>
                </c:pt>
                <c:pt idx="3">
                  <c:v>36.75</c:v>
                </c:pt>
                <c:pt idx="4">
                  <c:v>36.75</c:v>
                </c:pt>
                <c:pt idx="5">
                  <c:v>52.5</c:v>
                </c:pt>
                <c:pt idx="6">
                  <c:v>52.5</c:v>
                </c:pt>
                <c:pt idx="7">
                  <c:v>52.5</c:v>
                </c:pt>
                <c:pt idx="8">
                  <c:v>52.5</c:v>
                </c:pt>
                <c:pt idx="9">
                  <c:v>52.5</c:v>
                </c:pt>
                <c:pt idx="10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04-F34C-9648-A1B368934C39}"/>
            </c:ext>
          </c:extLst>
        </c:ser>
        <c:ser>
          <c:idx val="1"/>
          <c:order val="7"/>
          <c:tx>
            <c:strRef>
              <c:f>Model_FE!$M$1</c:f>
              <c:strCache>
                <c:ptCount val="1"/>
                <c:pt idx="0">
                  <c:v>P50 Trendline</c:v>
                </c:pt>
              </c:strCache>
            </c:strRef>
          </c:tx>
          <c:spPr>
            <a:ln w="22225" cap="rnd">
              <a:solidFill>
                <a:srgbClr val="FFFF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Model_FE!$M$2:$M$12</c:f>
              <c:numCache>
                <c:formatCode>#,##0</c:formatCode>
                <c:ptCount val="11"/>
                <c:pt idx="4">
                  <c:v>284</c:v>
                </c:pt>
                <c:pt idx="5">
                  <c:v>339</c:v>
                </c:pt>
                <c:pt idx="6">
                  <c:v>394</c:v>
                </c:pt>
                <c:pt idx="7">
                  <c:v>449</c:v>
                </c:pt>
                <c:pt idx="8">
                  <c:v>504</c:v>
                </c:pt>
                <c:pt idx="9">
                  <c:v>559</c:v>
                </c:pt>
                <c:pt idx="10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F7-BC42-8B78-FB978D93022A}"/>
            </c:ext>
          </c:extLst>
        </c:ser>
        <c:ser>
          <c:idx val="7"/>
          <c:order val="8"/>
          <c:tx>
            <c:strRef>
              <c:f>Model_FE!$L$1</c:f>
              <c:strCache>
                <c:ptCount val="1"/>
                <c:pt idx="0">
                  <c:v>P15 Trendline</c:v>
                </c:pt>
              </c:strCache>
            </c:strRef>
          </c:tx>
          <c:spPr>
            <a:ln w="25400" cap="rnd">
              <a:solidFill>
                <a:srgbClr val="FFFF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Model_FE!$L$2:$L$12</c:f>
              <c:numCache>
                <c:formatCode>#,##0</c:formatCode>
                <c:ptCount val="11"/>
                <c:pt idx="4">
                  <c:v>284</c:v>
                </c:pt>
                <c:pt idx="5">
                  <c:v>337</c:v>
                </c:pt>
                <c:pt idx="6">
                  <c:v>390</c:v>
                </c:pt>
                <c:pt idx="7">
                  <c:v>443</c:v>
                </c:pt>
                <c:pt idx="8">
                  <c:v>496</c:v>
                </c:pt>
                <c:pt idx="9">
                  <c:v>549</c:v>
                </c:pt>
                <c:pt idx="10">
                  <c:v>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04-F34C-9648-A1B368934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989343"/>
        <c:axId val="1544987423"/>
      </c:lineChart>
      <c:catAx>
        <c:axId val="154498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Only FE</a:t>
                </a:r>
              </a:p>
            </c:rich>
          </c:tx>
          <c:layout>
            <c:manualLayout>
              <c:xMode val="edge"/>
              <c:yMode val="edge"/>
              <c:x val="0.92801443973349484"/>
              <c:y val="0.16103428729537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%">
                  <a:solidFill>
                    <a:schemeClr val="lt1">
                      <a:lumMod val="8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[$]dd/mm/yyyy;@" c16r2:formatcode2="[$-en-PL,1]dd/mm/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%"/>
                <a:alpha val="10%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400" b="0" i="1" u="none" strike="noStrike" kern="1200" baseline="0%">
                <a:solidFill>
                  <a:schemeClr val="bg2">
                    <a:lumMod val="85%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544987423"/>
        <c:crosses val="autoZero"/>
        <c:auto val="1"/>
        <c:lblAlgn val="ctr"/>
        <c:lblOffset val="350"/>
        <c:tickLblSkip val="1"/>
        <c:noMultiLvlLbl val="0"/>
      </c:catAx>
      <c:valAx>
        <c:axId val="1544987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2643488794669895E-2"/>
          <c:y val="0.16052557727612152"/>
          <c:w val="0.10072651053086619"/>
          <c:h val="0.17752776424119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 w="28575">
      <a:solidFill>
        <a:schemeClr val="tx2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33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%"/>
            <a:alpha val="5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purl.oclc.org/ooxml/drawingml/main" id="233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%"/>
            <a:alpha val="5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purl.oclc.org/ooxml/drawingml/main" id="233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%"/>
            <a:alpha val="5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34924</xdr:colOff>
      <xdr:row>0</xdr:row>
      <xdr:rowOff>33866</xdr:rowOff>
    </xdr:from>
    <xdr:to>
      <xdr:col>26</xdr:col>
      <xdr:colOff>3467100</xdr:colOff>
      <xdr:row>61</xdr:row>
      <xdr:rowOff>127000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D42F92A-4597-9F1B-DB5B-7F56DAD3326E}"/>
            </a:ext>
            <a:ext uri="{147F2762-F138-4A5C-976F-8EAC2B608ADB}">
              <a16:predDERef xmlns:a16="http://schemas.microsoft.com/office/drawing/2014/main" pred="{68D3295A-6A14-316C-CA4D-C95C2CA90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0</xdr:col>
      <xdr:colOff>0</xdr:colOff>
      <xdr:row>62</xdr:row>
      <xdr:rowOff>103718</xdr:rowOff>
    </xdr:from>
    <xdr:to>
      <xdr:col>26</xdr:col>
      <xdr:colOff>3543299</xdr:colOff>
      <xdr:row>126</xdr:row>
      <xdr:rowOff>42335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3DB67-EB8D-40A9-AAE4-FA2D196B6F49}"/>
            </a:ext>
            <a:ext uri="{147F2762-F138-4A5C-976F-8EAC2B608ADB}">
              <a16:predDERef xmlns:a16="http://schemas.microsoft.com/office/drawing/2014/main" pred="{0D42F92A-4597-9F1B-DB5B-7F56DAD33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0</xdr:colOff>
      <xdr:row>133</xdr:row>
      <xdr:rowOff>114300</xdr:rowOff>
    </xdr:from>
    <xdr:to>
      <xdr:col>26</xdr:col>
      <xdr:colOff>3568700</xdr:colOff>
      <xdr:row>202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81ADB9-8E5F-4F4D-9015-A4E2ADBDC164}"/>
            </a:ext>
            <a:ext uri="{147F2762-F138-4A5C-976F-8EAC2B608ADB}">
              <a16:predDERef xmlns:a16="http://schemas.microsoft.com/office/drawing/2014/main" pred="{0D42F92A-4597-9F1B-DB5B-7F56DAD33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theme/theme1.xml><?xml version="1.0" encoding="utf-8"?>
<a:theme xmlns:a="http://purl.oclc.org/ooxml/drawingml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37BD-8C65-4321-8F2D-FB4B287E944F}">
  <sheetPr codeName="Sheet1"/>
  <dimension ref="K1:U12"/>
  <sheetViews>
    <sheetView showGridLines="0" tabSelected="1" topLeftCell="A143" zoomScale="150" zoomScaleNormal="150" workbookViewId="0">
      <selection activeCell="A131" sqref="A131"/>
    </sheetView>
  </sheetViews>
  <sheetFormatPr baseColWidth="10" defaultColWidth="10.83203125" defaultRowHeight="13" x14ac:dyDescent="0.15"/>
  <cols>
    <col min="1" max="1" width="6.6640625" customWidth="1"/>
    <col min="2" max="2" width="4.5" customWidth="1"/>
    <col min="3" max="3" width="7" customWidth="1"/>
    <col min="4" max="4" width="12.83203125" customWidth="1"/>
    <col min="5" max="5" width="14.5" customWidth="1"/>
    <col min="6" max="6" width="8.6640625" customWidth="1"/>
    <col min="7" max="7" width="8.83203125" customWidth="1"/>
    <col min="8" max="8" width="5.1640625" customWidth="1"/>
    <col min="9" max="9" width="15.5" customWidth="1"/>
    <col min="10" max="14" width="8.6640625" customWidth="1"/>
    <col min="15" max="15" width="8" customWidth="1"/>
    <col min="16" max="24" width="8.6640625" customWidth="1"/>
    <col min="25" max="25" width="7.6640625" customWidth="1"/>
    <col min="26" max="26" width="3" customWidth="1"/>
    <col min="27" max="27" width="56" customWidth="1"/>
    <col min="28" max="28" width="142.83203125" customWidth="1"/>
    <col min="29" max="16383" width="10.83203125" customWidth="1"/>
    <col min="16384" max="16384" width="0.1640625" customWidth="1"/>
  </cols>
  <sheetData>
    <row r="1" spans="11:21" ht="28" customHeight="1" x14ac:dyDescent="0.15">
      <c r="K1" s="22" t="s">
        <v>38</v>
      </c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1:21" ht="14" customHeight="1" x14ac:dyDescent="0.15"/>
    <row r="3" spans="11:21" ht="13" customHeight="1" x14ac:dyDescent="0.15"/>
    <row r="4" spans="11:21" ht="14" customHeight="1" x14ac:dyDescent="0.15"/>
    <row r="10" spans="11:21" ht="8" customHeight="1" x14ac:dyDescent="0.15"/>
    <row r="12" spans="11:21" ht="8" customHeight="1" x14ac:dyDescent="0.15"/>
  </sheetData>
  <mergeCells count="1">
    <mergeCell ref="K1:U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318D-1DCA-4C39-9C20-D04B4FB88812}">
  <sheetPr codeName="Sheet2"/>
  <dimension ref="A1:AC17"/>
  <sheetViews>
    <sheetView showGridLines="0" zoomScale="180" zoomScaleNormal="180" workbookViewId="0">
      <pane ySplit="1" topLeftCell="A2" activePane="bottomLeft" state="frozen"/>
      <selection pane="bottomLeft" activeCell="C29" sqref="C29"/>
    </sheetView>
  </sheetViews>
  <sheetFormatPr baseColWidth="10" defaultColWidth="8.6640625" defaultRowHeight="12.75" customHeight="1" x14ac:dyDescent="0.15"/>
  <cols>
    <col min="1" max="1" width="7.5" customWidth="1"/>
    <col min="2" max="2" width="6.6640625" customWidth="1"/>
    <col min="3" max="3" width="13.6640625" customWidth="1"/>
    <col min="4" max="4" width="8.5" customWidth="1"/>
    <col min="5" max="6" width="9" customWidth="1"/>
    <col min="7" max="8" width="9.83203125" customWidth="1"/>
    <col min="9" max="9" width="11.1640625" customWidth="1"/>
    <col min="10" max="10" width="13.1640625" customWidth="1"/>
    <col min="11" max="12" width="14.33203125" style="1" customWidth="1"/>
    <col min="13" max="13" width="11.33203125" style="1" customWidth="1"/>
    <col min="14" max="14" width="16.5" style="1" customWidth="1"/>
    <col min="15" max="15" width="15" style="1" customWidth="1"/>
    <col min="16" max="16" width="15.33203125" style="1" customWidth="1"/>
    <col min="17" max="17" width="13.6640625" style="1" customWidth="1"/>
    <col min="18" max="18" width="15.33203125" style="1" customWidth="1"/>
    <col min="19" max="20" width="13.6640625" style="1" customWidth="1"/>
    <col min="21" max="21" width="10.5" style="1" customWidth="1"/>
    <col min="22" max="22" width="12.33203125" style="1" customWidth="1"/>
    <col min="23" max="23" width="6.5" style="1" customWidth="1"/>
    <col min="24" max="25" width="7.5" customWidth="1"/>
    <col min="26" max="26" width="3.1640625" customWidth="1"/>
    <col min="27" max="28" width="15.6640625" customWidth="1"/>
    <col min="29" max="29" width="11.33203125" customWidth="1"/>
  </cols>
  <sheetData>
    <row r="1" spans="1:29" s="4" customFormat="1" ht="33" customHeight="1" x14ac:dyDescent="0.1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24</v>
      </c>
      <c r="J1" s="3" t="s">
        <v>29</v>
      </c>
      <c r="K1" s="3" t="s">
        <v>31</v>
      </c>
      <c r="L1" s="3" t="s">
        <v>36</v>
      </c>
      <c r="M1" s="3" t="s">
        <v>37</v>
      </c>
      <c r="N1" s="5" t="s">
        <v>30</v>
      </c>
      <c r="O1" s="5" t="s">
        <v>32</v>
      </c>
      <c r="P1" s="5" t="s">
        <v>25</v>
      </c>
      <c r="Q1" s="5" t="s">
        <v>26</v>
      </c>
      <c r="R1" s="5" t="s">
        <v>34</v>
      </c>
      <c r="S1" s="5" t="s">
        <v>35</v>
      </c>
      <c r="T1" s="5" t="s">
        <v>28</v>
      </c>
      <c r="U1" s="5" t="s">
        <v>27</v>
      </c>
      <c r="V1" s="3" t="s">
        <v>33</v>
      </c>
      <c r="W1"/>
      <c r="X1" s="5" t="s">
        <v>19</v>
      </c>
      <c r="Y1" s="5" t="s">
        <v>20</v>
      </c>
      <c r="Z1"/>
      <c r="AA1" s="5" t="s">
        <v>7</v>
      </c>
      <c r="AB1" s="5" t="s">
        <v>8</v>
      </c>
      <c r="AC1" s="3" t="s">
        <v>39</v>
      </c>
    </row>
    <row r="2" spans="1:29" ht="13" x14ac:dyDescent="0.15">
      <c r="A2" s="6" t="str">
        <f t="shared" ref="A2:A12" si="0">TEXT(E2,"[$-409]MMM")</f>
        <v>Nov</v>
      </c>
      <c r="B2" s="7">
        <v>1</v>
      </c>
      <c r="C2" s="10" t="s">
        <v>11</v>
      </c>
      <c r="D2" s="7" t="str">
        <f t="shared" ref="D2:D12" si="1">$D$1&amp;" "&amp;B2</f>
        <v>Sprint 1</v>
      </c>
      <c r="E2" s="12" t="d">
        <f>Model_BE!E2</f>
        <v>2025-11-03</v>
      </c>
      <c r="F2" s="12" t="d">
        <f>E2+13</f>
        <v>2025-11-16</v>
      </c>
      <c r="G2" s="11">
        <v>9</v>
      </c>
      <c r="H2" s="13">
        <f>Model_BE!H2+Model_FE!H2</f>
        <v>3.5</v>
      </c>
      <c r="I2" s="14">
        <f>Model_BE!I2+Model_FE!I2</f>
        <v>900</v>
      </c>
      <c r="J2" s="14">
        <f>Model_BE!J2+Model_FE!J2</f>
        <v>900</v>
      </c>
      <c r="K2" s="8">
        <f>Model_BE!K2+Model_FE!K2</f>
        <v>121</v>
      </c>
      <c r="L2" s="8"/>
      <c r="M2" s="8"/>
      <c r="N2" s="8">
        <f>K2</f>
        <v>121</v>
      </c>
      <c r="O2" s="8">
        <f>K2</f>
        <v>121</v>
      </c>
      <c r="P2" s="15">
        <f t="shared" ref="P2:P12" si="2">$AA$2*G2</f>
        <v>31.5</v>
      </c>
      <c r="Q2" s="15">
        <f t="shared" ref="Q2:Q12" si="3">$AB$2*G2</f>
        <v>40.5</v>
      </c>
      <c r="R2" s="15">
        <f t="shared" ref="R2:R12" si="4">P2*H2</f>
        <v>110.25</v>
      </c>
      <c r="S2" s="15">
        <f t="shared" ref="S2:S12" si="5">Q2*H2</f>
        <v>141.75</v>
      </c>
      <c r="T2" s="15">
        <f>X$2</f>
        <v>110.6</v>
      </c>
      <c r="U2" s="15">
        <f t="shared" ref="U2:U12" si="6">Y$2</f>
        <v>127</v>
      </c>
      <c r="V2" s="17">
        <f>Model_BE!V2+Model_FE!V2</f>
        <v>121</v>
      </c>
      <c r="W2"/>
      <c r="X2" s="7" cm="1">
        <f t="array" ref="X2">_xlfn.PERCENTILE.INC(_xlfn.TAKE(_xlfn._xlws.FILTER(V:V, V:V&lt;&gt;""), -5), 0.15)</f>
        <v>110.6</v>
      </c>
      <c r="Y2" s="7" cm="1">
        <f t="array" ref="Y2">_xlfn.PERCENTILE.INC(_xlfn.TAKE(_xlfn._xlws.FILTER(V:V, V:V&lt;&gt;""), -5), 0.5)</f>
        <v>127</v>
      </c>
      <c r="AA2" s="7">
        <v>3.5</v>
      </c>
      <c r="AB2" s="7">
        <v>4.5</v>
      </c>
      <c r="AC2" s="20">
        <f>J12-I12</f>
        <v>98</v>
      </c>
    </row>
    <row r="3" spans="1:29" ht="13" customHeight="1" x14ac:dyDescent="0.15">
      <c r="A3" s="6" t="str">
        <f t="shared" si="0"/>
        <v>Nov</v>
      </c>
      <c r="B3" s="7">
        <v>2</v>
      </c>
      <c r="C3" s="10" t="s">
        <v>12</v>
      </c>
      <c r="D3" s="7" t="str">
        <f t="shared" si="1"/>
        <v>Sprint 2</v>
      </c>
      <c r="E3" s="12" t="d">
        <f>F2+1</f>
        <v>2025-11-17</v>
      </c>
      <c r="F3" s="12" t="d">
        <f t="shared" ref="F3:F12" si="7">E3+13</f>
        <v>2025-11-30</v>
      </c>
      <c r="G3" s="11">
        <v>10</v>
      </c>
      <c r="H3" s="13">
        <f>Model_BE!H3+Model_FE!H3</f>
        <v>3.5</v>
      </c>
      <c r="I3" s="14">
        <f>Model_BE!I3+Model_FE!I3</f>
        <v>900</v>
      </c>
      <c r="J3" s="14">
        <f>Model_BE!J3+Model_FE!J3</f>
        <v>900</v>
      </c>
      <c r="K3" s="8">
        <f>Model_BE!K3+Model_FE!K3</f>
        <v>261</v>
      </c>
      <c r="L3" s="8"/>
      <c r="M3" s="8"/>
      <c r="N3" s="8">
        <f>N2+R3</f>
        <v>243.5</v>
      </c>
      <c r="O3" s="8">
        <f>O2+S3</f>
        <v>278.5</v>
      </c>
      <c r="P3" s="15">
        <f t="shared" si="2"/>
        <v>35</v>
      </c>
      <c r="Q3" s="15">
        <f t="shared" si="3"/>
        <v>45</v>
      </c>
      <c r="R3" s="15">
        <f t="shared" si="4"/>
        <v>122.5</v>
      </c>
      <c r="S3" s="15">
        <f t="shared" si="5"/>
        <v>157.5</v>
      </c>
      <c r="T3" s="15">
        <f t="shared" ref="T3:T12" si="8">X$2</f>
        <v>110.6</v>
      </c>
      <c r="U3" s="15">
        <f t="shared" si="6"/>
        <v>127</v>
      </c>
      <c r="V3" s="17">
        <f>Model_BE!V3+Model_FE!V3</f>
        <v>140</v>
      </c>
      <c r="W3"/>
      <c r="AA3" s="9" t="s">
        <v>10</v>
      </c>
      <c r="AB3" s="9" t="s">
        <v>9</v>
      </c>
      <c r="AC3" s="18"/>
    </row>
    <row r="4" spans="1:29" ht="13" x14ac:dyDescent="0.15">
      <c r="A4" s="6" t="str">
        <f t="shared" si="0"/>
        <v>Dec</v>
      </c>
      <c r="B4" s="7">
        <v>3</v>
      </c>
      <c r="C4" s="10" t="s">
        <v>13</v>
      </c>
      <c r="D4" s="7" t="str">
        <f t="shared" si="1"/>
        <v>Sprint 3</v>
      </c>
      <c r="E4" s="12" t="d">
        <f t="shared" ref="E4:E12" si="9">F3+1</f>
        <v>2025-12-01</v>
      </c>
      <c r="F4" s="12" t="d">
        <f t="shared" si="7"/>
        <v>2025-12-14</v>
      </c>
      <c r="G4" s="11">
        <v>10</v>
      </c>
      <c r="H4" s="13">
        <f>Model_BE!H4+Model_FE!H4</f>
        <v>3.5</v>
      </c>
      <c r="I4" s="14">
        <f>Model_BE!I4+Model_FE!I4</f>
        <v>900</v>
      </c>
      <c r="J4" s="14">
        <f>Model_BE!J4+Model_FE!J4</f>
        <v>920</v>
      </c>
      <c r="K4" s="8">
        <f>Model_BE!K4+Model_FE!K4</f>
        <v>393</v>
      </c>
      <c r="L4" s="8"/>
      <c r="M4" s="8"/>
      <c r="N4" s="8">
        <f t="shared" ref="N4:O12" si="10">N3+R4</f>
        <v>366</v>
      </c>
      <c r="O4" s="8">
        <f t="shared" si="10"/>
        <v>436</v>
      </c>
      <c r="P4" s="15">
        <f t="shared" si="2"/>
        <v>35</v>
      </c>
      <c r="Q4" s="15">
        <f t="shared" si="3"/>
        <v>45</v>
      </c>
      <c r="R4" s="15">
        <f t="shared" si="4"/>
        <v>122.5</v>
      </c>
      <c r="S4" s="15">
        <f t="shared" si="5"/>
        <v>157.5</v>
      </c>
      <c r="T4" s="15">
        <f t="shared" si="8"/>
        <v>110.6</v>
      </c>
      <c r="U4" s="15">
        <f t="shared" si="6"/>
        <v>127</v>
      </c>
      <c r="V4" s="17">
        <f>Model_BE!V4+Model_FE!V4</f>
        <v>132</v>
      </c>
      <c r="W4"/>
      <c r="AC4" s="18"/>
    </row>
    <row r="5" spans="1:29" ht="13" x14ac:dyDescent="0.15">
      <c r="A5" s="6" t="str">
        <f t="shared" si="0"/>
        <v>Dec</v>
      </c>
      <c r="B5" s="7">
        <v>4</v>
      </c>
      <c r="C5" s="10" t="s">
        <v>14</v>
      </c>
      <c r="D5" s="7" t="str">
        <f t="shared" si="1"/>
        <v>Sprint 4</v>
      </c>
      <c r="E5" s="12" t="d">
        <f t="shared" si="9"/>
        <v>2025-12-15</v>
      </c>
      <c r="F5" s="12" t="d">
        <f t="shared" si="7"/>
        <v>2025-12-28</v>
      </c>
      <c r="G5" s="11">
        <v>7</v>
      </c>
      <c r="H5" s="13">
        <f>Model_BE!H5+Model_FE!H5</f>
        <v>3.5</v>
      </c>
      <c r="I5" s="14">
        <f>Model_BE!I5+Model_FE!I5</f>
        <v>900</v>
      </c>
      <c r="J5" s="14">
        <f>Model_BE!J5+Model_FE!J5</f>
        <v>940</v>
      </c>
      <c r="K5" s="8">
        <f>Model_BE!K5+Model_FE!K5</f>
        <v>488</v>
      </c>
      <c r="L5" s="8"/>
      <c r="M5" s="8"/>
      <c r="N5" s="8">
        <f t="shared" si="10"/>
        <v>451.75</v>
      </c>
      <c r="O5" s="8">
        <f t="shared" si="10"/>
        <v>546.25</v>
      </c>
      <c r="P5" s="15">
        <f t="shared" si="2"/>
        <v>24.5</v>
      </c>
      <c r="Q5" s="15">
        <f t="shared" si="3"/>
        <v>31.5</v>
      </c>
      <c r="R5" s="15">
        <f t="shared" si="4"/>
        <v>85.75</v>
      </c>
      <c r="S5" s="15">
        <f t="shared" si="5"/>
        <v>110.25</v>
      </c>
      <c r="T5" s="15">
        <f t="shared" si="8"/>
        <v>110.6</v>
      </c>
      <c r="U5" s="15">
        <f t="shared" si="6"/>
        <v>127</v>
      </c>
      <c r="V5" s="17">
        <f>Model_BE!V5+Model_FE!V5</f>
        <v>95</v>
      </c>
      <c r="W5"/>
      <c r="AC5" s="18"/>
    </row>
    <row r="6" spans="1:29" ht="13" x14ac:dyDescent="0.15">
      <c r="A6" s="6" t="str">
        <f t="shared" si="0"/>
        <v>Dec</v>
      </c>
      <c r="B6" s="7">
        <v>5</v>
      </c>
      <c r="C6" s="10" t="s">
        <v>15</v>
      </c>
      <c r="D6" s="7" t="str">
        <f t="shared" si="1"/>
        <v>Sprint 5</v>
      </c>
      <c r="E6" s="12" t="d">
        <f t="shared" si="9"/>
        <v>2025-12-29</v>
      </c>
      <c r="F6" s="12" t="d">
        <f t="shared" si="7"/>
        <v>2026-01-11</v>
      </c>
      <c r="G6" s="11">
        <v>7</v>
      </c>
      <c r="H6" s="13">
        <f>Model_BE!H6+Model_FE!H6</f>
        <v>3.5</v>
      </c>
      <c r="I6" s="14">
        <f>Model_BE!I6+Model_FE!I6</f>
        <v>900</v>
      </c>
      <c r="J6" s="14">
        <f>Model_BE!J6+Model_FE!J6</f>
        <v>998</v>
      </c>
      <c r="K6" s="8">
        <f>Model_BE!K6+Model_FE!K6</f>
        <v>615</v>
      </c>
      <c r="L6" s="8">
        <f>K6</f>
        <v>615</v>
      </c>
      <c r="M6" s="8">
        <f>K6</f>
        <v>615</v>
      </c>
      <c r="N6" s="8">
        <f t="shared" si="10"/>
        <v>537.5</v>
      </c>
      <c r="O6" s="8">
        <f t="shared" si="10"/>
        <v>656.5</v>
      </c>
      <c r="P6" s="15">
        <f t="shared" si="2"/>
        <v>24.5</v>
      </c>
      <c r="Q6" s="15">
        <f t="shared" si="3"/>
        <v>31.5</v>
      </c>
      <c r="R6" s="15">
        <f t="shared" si="4"/>
        <v>85.75</v>
      </c>
      <c r="S6" s="15">
        <f t="shared" si="5"/>
        <v>110.25</v>
      </c>
      <c r="T6" s="15">
        <f t="shared" si="8"/>
        <v>110.6</v>
      </c>
      <c r="U6" s="15">
        <f t="shared" si="6"/>
        <v>127</v>
      </c>
      <c r="V6" s="17">
        <f>Model_BE!V6+Model_FE!V6</f>
        <v>127</v>
      </c>
      <c r="W6"/>
      <c r="AC6" s="18"/>
    </row>
    <row r="7" spans="1:29" ht="13" x14ac:dyDescent="0.15">
      <c r="A7" s="6" t="str">
        <f t="shared" si="0"/>
        <v>Jan</v>
      </c>
      <c r="B7" s="7">
        <v>6</v>
      </c>
      <c r="C7" s="10" t="s">
        <v>16</v>
      </c>
      <c r="D7" s="7" t="str">
        <f t="shared" si="1"/>
        <v>Sprint 6</v>
      </c>
      <c r="E7" s="12" t="d">
        <f t="shared" si="9"/>
        <v>2026-01-12</v>
      </c>
      <c r="F7" s="12" t="d">
        <f t="shared" si="7"/>
        <v>2026-01-25</v>
      </c>
      <c r="G7" s="11">
        <v>10</v>
      </c>
      <c r="H7" s="13">
        <f>Model_BE!H7+Model_FE!H7</f>
        <v>3.5</v>
      </c>
      <c r="I7" s="14">
        <f>Model_BE!I7+Model_FE!I7</f>
        <v>900</v>
      </c>
      <c r="J7" s="14">
        <f>Model_BE!J7+Model_FE!J7</f>
        <v>998</v>
      </c>
      <c r="K7" s="8"/>
      <c r="L7" s="8">
        <f>L6+T7</f>
        <v>725.6</v>
      </c>
      <c r="M7" s="8">
        <f>M6+U7</f>
        <v>742</v>
      </c>
      <c r="N7" s="8">
        <f t="shared" si="10"/>
        <v>660</v>
      </c>
      <c r="O7" s="8">
        <f t="shared" si="10"/>
        <v>814</v>
      </c>
      <c r="P7" s="15">
        <f t="shared" si="2"/>
        <v>35</v>
      </c>
      <c r="Q7" s="15">
        <f t="shared" si="3"/>
        <v>45</v>
      </c>
      <c r="R7" s="15">
        <f t="shared" si="4"/>
        <v>122.5</v>
      </c>
      <c r="S7" s="15">
        <f t="shared" si="5"/>
        <v>157.5</v>
      </c>
      <c r="T7" s="15">
        <f t="shared" si="8"/>
        <v>110.6</v>
      </c>
      <c r="U7" s="15">
        <f t="shared" si="6"/>
        <v>127</v>
      </c>
      <c r="V7" s="17"/>
      <c r="W7"/>
      <c r="AC7" s="18"/>
    </row>
    <row r="8" spans="1:29" ht="13" x14ac:dyDescent="0.15">
      <c r="A8" s="6" t="str">
        <f t="shared" si="0"/>
        <v>Jan</v>
      </c>
      <c r="B8" s="7">
        <v>7</v>
      </c>
      <c r="C8" s="10" t="s">
        <v>17</v>
      </c>
      <c r="D8" s="7" t="str">
        <f t="shared" si="1"/>
        <v>Sprint 7</v>
      </c>
      <c r="E8" s="12" t="d">
        <f t="shared" si="9"/>
        <v>2026-01-26</v>
      </c>
      <c r="F8" s="12" t="d">
        <f t="shared" si="7"/>
        <v>2026-02-08</v>
      </c>
      <c r="G8" s="11">
        <v>10</v>
      </c>
      <c r="H8" s="13">
        <f>Model_BE!H8+Model_FE!H8</f>
        <v>3.5</v>
      </c>
      <c r="I8" s="14">
        <f>Model_BE!I8+Model_FE!I8</f>
        <v>900</v>
      </c>
      <c r="J8" s="14">
        <f>Model_BE!J8+Model_FE!J8</f>
        <v>998</v>
      </c>
      <c r="K8" s="8"/>
      <c r="L8" s="8">
        <f t="shared" ref="L8:L12" si="11">L7+T8</f>
        <v>836.2</v>
      </c>
      <c r="M8" s="8">
        <f t="shared" ref="M8:M12" si="12">M7+U8</f>
        <v>869</v>
      </c>
      <c r="N8" s="8">
        <f t="shared" si="10"/>
        <v>782.5</v>
      </c>
      <c r="O8" s="8">
        <f t="shared" si="10"/>
        <v>971.5</v>
      </c>
      <c r="P8" s="15">
        <f t="shared" si="2"/>
        <v>35</v>
      </c>
      <c r="Q8" s="15">
        <f t="shared" si="3"/>
        <v>45</v>
      </c>
      <c r="R8" s="15">
        <f t="shared" si="4"/>
        <v>122.5</v>
      </c>
      <c r="S8" s="15">
        <f t="shared" si="5"/>
        <v>157.5</v>
      </c>
      <c r="T8" s="15">
        <f t="shared" si="8"/>
        <v>110.6</v>
      </c>
      <c r="U8" s="15">
        <f t="shared" si="6"/>
        <v>127</v>
      </c>
      <c r="V8" s="17"/>
      <c r="W8"/>
      <c r="AC8" s="18"/>
    </row>
    <row r="9" spans="1:29" ht="13" x14ac:dyDescent="0.15">
      <c r="A9" s="6" t="str">
        <f t="shared" si="0"/>
        <v>Feb</v>
      </c>
      <c r="B9" s="7">
        <v>8</v>
      </c>
      <c r="C9" s="10" t="s">
        <v>18</v>
      </c>
      <c r="D9" s="7" t="str">
        <f t="shared" si="1"/>
        <v>Sprint 8</v>
      </c>
      <c r="E9" s="12" t="d">
        <f t="shared" si="9"/>
        <v>2026-02-09</v>
      </c>
      <c r="F9" s="12" t="d">
        <f t="shared" si="7"/>
        <v>2026-02-22</v>
      </c>
      <c r="G9" s="11">
        <v>10</v>
      </c>
      <c r="H9" s="13">
        <f>Model_BE!H9+Model_FE!H9</f>
        <v>3.5</v>
      </c>
      <c r="I9" s="14">
        <f>Model_BE!I9+Model_FE!I9</f>
        <v>900</v>
      </c>
      <c r="J9" s="14">
        <f>Model_BE!J9+Model_FE!J9</f>
        <v>998</v>
      </c>
      <c r="K9" s="8"/>
      <c r="L9" s="8">
        <f t="shared" si="11"/>
        <v>946.80000000000007</v>
      </c>
      <c r="M9" s="8">
        <f t="shared" si="12"/>
        <v>996</v>
      </c>
      <c r="N9" s="8">
        <f t="shared" si="10"/>
        <v>905</v>
      </c>
      <c r="O9" s="8">
        <f t="shared" si="10"/>
        <v>1129</v>
      </c>
      <c r="P9" s="15">
        <f t="shared" si="2"/>
        <v>35</v>
      </c>
      <c r="Q9" s="15">
        <f t="shared" si="3"/>
        <v>45</v>
      </c>
      <c r="R9" s="15">
        <f t="shared" si="4"/>
        <v>122.5</v>
      </c>
      <c r="S9" s="15">
        <f t="shared" si="5"/>
        <v>157.5</v>
      </c>
      <c r="T9" s="15">
        <f t="shared" si="8"/>
        <v>110.6</v>
      </c>
      <c r="U9" s="15">
        <f t="shared" si="6"/>
        <v>127</v>
      </c>
      <c r="V9" s="17"/>
      <c r="W9"/>
      <c r="AC9" s="18"/>
    </row>
    <row r="10" spans="1:29" ht="13" x14ac:dyDescent="0.15">
      <c r="A10" s="6" t="str">
        <f t="shared" si="0"/>
        <v>Feb</v>
      </c>
      <c r="B10" s="7">
        <v>9</v>
      </c>
      <c r="C10" s="10" t="s">
        <v>21</v>
      </c>
      <c r="D10" s="7" t="str">
        <f t="shared" si="1"/>
        <v>Sprint 9</v>
      </c>
      <c r="E10" s="12" t="d">
        <f t="shared" si="9"/>
        <v>2026-02-23</v>
      </c>
      <c r="F10" s="12" t="d">
        <f t="shared" si="7"/>
        <v>2026-03-08</v>
      </c>
      <c r="G10" s="11">
        <v>10</v>
      </c>
      <c r="H10" s="13">
        <f>Model_BE!H10+Model_FE!H10</f>
        <v>3.5</v>
      </c>
      <c r="I10" s="14">
        <f>Model_BE!I10+Model_FE!I10</f>
        <v>900</v>
      </c>
      <c r="J10" s="14">
        <f>Model_BE!J10+Model_FE!J10</f>
        <v>998</v>
      </c>
      <c r="K10" s="8"/>
      <c r="L10" s="8">
        <f t="shared" si="11"/>
        <v>1057.4000000000001</v>
      </c>
      <c r="M10" s="8">
        <f t="shared" si="12"/>
        <v>1123</v>
      </c>
      <c r="N10" s="8">
        <f t="shared" si="10"/>
        <v>1027.5</v>
      </c>
      <c r="O10" s="8">
        <f t="shared" si="10"/>
        <v>1286.5</v>
      </c>
      <c r="P10" s="15">
        <f t="shared" si="2"/>
        <v>35</v>
      </c>
      <c r="Q10" s="15">
        <f t="shared" si="3"/>
        <v>45</v>
      </c>
      <c r="R10" s="15">
        <f t="shared" si="4"/>
        <v>122.5</v>
      </c>
      <c r="S10" s="15">
        <f t="shared" si="5"/>
        <v>157.5</v>
      </c>
      <c r="T10" s="15">
        <f t="shared" si="8"/>
        <v>110.6</v>
      </c>
      <c r="U10" s="15">
        <f t="shared" si="6"/>
        <v>127</v>
      </c>
      <c r="V10" s="17"/>
      <c r="W10"/>
      <c r="AC10" s="18"/>
    </row>
    <row r="11" spans="1:29" ht="13" x14ac:dyDescent="0.15">
      <c r="A11" s="6" t="str">
        <f t="shared" si="0"/>
        <v>Mar</v>
      </c>
      <c r="B11" s="7">
        <v>10</v>
      </c>
      <c r="C11" s="10" t="s">
        <v>22</v>
      </c>
      <c r="D11" s="7" t="str">
        <f t="shared" si="1"/>
        <v>Sprint 10</v>
      </c>
      <c r="E11" s="12" t="d">
        <f t="shared" si="9"/>
        <v>2026-03-09</v>
      </c>
      <c r="F11" s="12" t="d">
        <f t="shared" si="7"/>
        <v>2026-03-22</v>
      </c>
      <c r="G11" s="11">
        <v>10</v>
      </c>
      <c r="H11" s="13">
        <f>Model_BE!H11+Model_FE!H11</f>
        <v>3.5</v>
      </c>
      <c r="I11" s="14">
        <f>Model_BE!I11+Model_FE!I11</f>
        <v>900</v>
      </c>
      <c r="J11" s="14">
        <f>Model_BE!J11+Model_FE!J11</f>
        <v>998</v>
      </c>
      <c r="K11" s="8"/>
      <c r="L11" s="8">
        <f t="shared" si="11"/>
        <v>1168</v>
      </c>
      <c r="M11" s="8">
        <f t="shared" si="12"/>
        <v>1250</v>
      </c>
      <c r="N11" s="8">
        <f t="shared" si="10"/>
        <v>1150</v>
      </c>
      <c r="O11" s="8">
        <f t="shared" si="10"/>
        <v>1444</v>
      </c>
      <c r="P11" s="15">
        <f t="shared" si="2"/>
        <v>35</v>
      </c>
      <c r="Q11" s="15">
        <f t="shared" si="3"/>
        <v>45</v>
      </c>
      <c r="R11" s="15">
        <f t="shared" si="4"/>
        <v>122.5</v>
      </c>
      <c r="S11" s="15">
        <f t="shared" si="5"/>
        <v>157.5</v>
      </c>
      <c r="T11" s="15">
        <f t="shared" si="8"/>
        <v>110.6</v>
      </c>
      <c r="U11" s="15">
        <f t="shared" si="6"/>
        <v>127</v>
      </c>
      <c r="V11" s="17"/>
      <c r="W11"/>
      <c r="AC11" s="18"/>
    </row>
    <row r="12" spans="1:29" ht="12.75" customHeight="1" x14ac:dyDescent="0.15">
      <c r="A12" s="6" t="str">
        <f t="shared" si="0"/>
        <v>Mar</v>
      </c>
      <c r="B12" s="7">
        <v>11</v>
      </c>
      <c r="C12" s="10" t="s">
        <v>23</v>
      </c>
      <c r="D12" s="7" t="str">
        <f t="shared" si="1"/>
        <v>Sprint 11</v>
      </c>
      <c r="E12" s="12" t="d">
        <f t="shared" si="9"/>
        <v>2026-03-23</v>
      </c>
      <c r="F12" s="12" t="d">
        <f t="shared" si="7"/>
        <v>2026-04-05</v>
      </c>
      <c r="G12" s="11">
        <v>10</v>
      </c>
      <c r="H12" s="13">
        <f>Model_BE!H12+Model_FE!H12</f>
        <v>3.5</v>
      </c>
      <c r="I12" s="14">
        <f>Model_BE!I12+Model_FE!I12</f>
        <v>900</v>
      </c>
      <c r="J12" s="14">
        <f>Model_BE!J12+Model_FE!J12</f>
        <v>998</v>
      </c>
      <c r="K12" s="16"/>
      <c r="L12" s="8">
        <f t="shared" si="11"/>
        <v>1278.5999999999999</v>
      </c>
      <c r="M12" s="8">
        <f t="shared" si="12"/>
        <v>1377</v>
      </c>
      <c r="N12" s="8">
        <f t="shared" si="10"/>
        <v>1272.5</v>
      </c>
      <c r="O12" s="8">
        <f t="shared" si="10"/>
        <v>1601.5</v>
      </c>
      <c r="P12" s="15">
        <f t="shared" si="2"/>
        <v>35</v>
      </c>
      <c r="Q12" s="15">
        <f t="shared" si="3"/>
        <v>45</v>
      </c>
      <c r="R12" s="15">
        <f t="shared" si="4"/>
        <v>122.5</v>
      </c>
      <c r="S12" s="15">
        <f t="shared" si="5"/>
        <v>157.5</v>
      </c>
      <c r="T12" s="15">
        <f t="shared" si="8"/>
        <v>110.6</v>
      </c>
      <c r="U12" s="15">
        <f t="shared" si="6"/>
        <v>127</v>
      </c>
      <c r="V12" s="17"/>
      <c r="W12"/>
      <c r="AC12" s="18"/>
    </row>
    <row r="13" spans="1:29" ht="12.75" customHeight="1" x14ac:dyDescent="0.15">
      <c r="W13"/>
    </row>
    <row r="14" spans="1:29" ht="12.75" customHeight="1" x14ac:dyDescent="0.15">
      <c r="W14"/>
    </row>
    <row r="15" spans="1:29" ht="28.5" customHeight="1" x14ac:dyDescent="0.15">
      <c r="W15"/>
    </row>
    <row r="16" spans="1:29" ht="20.25" customHeight="1" x14ac:dyDescent="0.15">
      <c r="W16"/>
    </row>
    <row r="17" ht="22.5" customHeight="1" x14ac:dyDescent="0.15"/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56CE-B9AE-408C-BB9C-FB7D36DA9D24}">
  <sheetPr codeName="Sheet3"/>
  <dimension ref="A1:AD17"/>
  <sheetViews>
    <sheetView showGridLines="0" zoomScale="180" zoomScaleNormal="180" workbookViewId="0">
      <selection activeCell="E2" sqref="E2"/>
    </sheetView>
  </sheetViews>
  <sheetFormatPr baseColWidth="10" defaultColWidth="8.6640625" defaultRowHeight="12.75" customHeight="1" x14ac:dyDescent="0.15"/>
  <cols>
    <col min="1" max="1" width="7.5" customWidth="1"/>
    <col min="2" max="2" width="6.6640625" customWidth="1"/>
    <col min="3" max="3" width="13.6640625" customWidth="1"/>
    <col min="4" max="4" width="8.5" customWidth="1"/>
    <col min="5" max="6" width="9" customWidth="1"/>
    <col min="7" max="8" width="9.83203125" customWidth="1"/>
    <col min="9" max="9" width="11.1640625" customWidth="1"/>
    <col min="10" max="10" width="13.1640625" customWidth="1"/>
    <col min="11" max="11" width="14.33203125" style="1" customWidth="1"/>
    <col min="12" max="12" width="11" style="1" customWidth="1"/>
    <col min="13" max="13" width="11.33203125" style="1" customWidth="1"/>
    <col min="14" max="14" width="16.5" style="1" customWidth="1"/>
    <col min="15" max="15" width="15" style="1" customWidth="1"/>
    <col min="16" max="16" width="15.33203125" style="1" customWidth="1"/>
    <col min="17" max="17" width="13.6640625" style="1" customWidth="1"/>
    <col min="18" max="18" width="15.33203125" style="1" customWidth="1"/>
    <col min="19" max="19" width="15.1640625" style="1" customWidth="1"/>
    <col min="20" max="20" width="11.5" style="1" customWidth="1"/>
    <col min="21" max="21" width="10.5" style="1" customWidth="1"/>
    <col min="22" max="22" width="13.5" style="1" customWidth="1"/>
    <col min="23" max="23" width="6.5" style="1" customWidth="1"/>
    <col min="24" max="25" width="7.5" customWidth="1"/>
    <col min="26" max="26" width="3.1640625" customWidth="1"/>
    <col min="27" max="28" width="15.6640625" customWidth="1"/>
    <col min="29" max="30" width="11.33203125" customWidth="1"/>
  </cols>
  <sheetData>
    <row r="1" spans="1:30" s="4" customFormat="1" ht="47" customHeight="1" x14ac:dyDescent="0.1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24</v>
      </c>
      <c r="J1" s="3" t="s">
        <v>29</v>
      </c>
      <c r="K1" s="3" t="s">
        <v>31</v>
      </c>
      <c r="L1" s="3" t="s">
        <v>36</v>
      </c>
      <c r="M1" s="3" t="s">
        <v>37</v>
      </c>
      <c r="N1" s="5" t="s">
        <v>30</v>
      </c>
      <c r="O1" s="5" t="s">
        <v>32</v>
      </c>
      <c r="P1" s="5" t="s">
        <v>25</v>
      </c>
      <c r="Q1" s="5" t="s">
        <v>26</v>
      </c>
      <c r="R1" s="5" t="s">
        <v>34</v>
      </c>
      <c r="S1" s="5" t="s">
        <v>35</v>
      </c>
      <c r="T1" s="5" t="s">
        <v>28</v>
      </c>
      <c r="U1" s="5" t="s">
        <v>27</v>
      </c>
      <c r="V1" s="3" t="s">
        <v>33</v>
      </c>
      <c r="W1"/>
      <c r="X1" s="5" t="s">
        <v>19</v>
      </c>
      <c r="Y1" s="5" t="s">
        <v>20</v>
      </c>
      <c r="Z1"/>
      <c r="AA1" s="5" t="s">
        <v>7</v>
      </c>
      <c r="AB1" s="5" t="s">
        <v>8</v>
      </c>
      <c r="AC1" s="3" t="s">
        <v>39</v>
      </c>
      <c r="AD1" s="3" t="s">
        <v>40</v>
      </c>
    </row>
    <row r="2" spans="1:30" ht="13" x14ac:dyDescent="0.15">
      <c r="A2" s="6" t="str">
        <f t="shared" ref="A2:A12" si="0">TEXT(E2,"[$-409]MMM")</f>
        <v>Nov</v>
      </c>
      <c r="B2" s="7">
        <v>1</v>
      </c>
      <c r="C2" s="10" t="s">
        <v>11</v>
      </c>
      <c r="D2" s="7" t="str">
        <f t="shared" ref="D2:D12" si="1">$D$1&amp;" "&amp;B2</f>
        <v>Sprint 1</v>
      </c>
      <c r="E2" s="12" t="d">
        <v>2025-11-03</v>
      </c>
      <c r="F2" s="12" t="d">
        <f>E2+13</f>
        <v>2025-11-16</v>
      </c>
      <c r="G2" s="11">
        <v>9</v>
      </c>
      <c r="H2" s="13">
        <v>2</v>
      </c>
      <c r="I2" s="14">
        <v>500</v>
      </c>
      <c r="J2" s="14">
        <v>500</v>
      </c>
      <c r="K2" s="8">
        <f>V2</f>
        <v>66</v>
      </c>
      <c r="L2" s="8"/>
      <c r="M2" s="8"/>
      <c r="N2" s="14">
        <f>R2</f>
        <v>63</v>
      </c>
      <c r="O2" s="14">
        <f>S2</f>
        <v>81</v>
      </c>
      <c r="P2" s="19">
        <f>$AA$2*G2</f>
        <v>31.5</v>
      </c>
      <c r="Q2" s="19">
        <f t="shared" ref="Q2:Q12" si="2">$AB$2*G2</f>
        <v>40.5</v>
      </c>
      <c r="R2" s="19">
        <f t="shared" ref="R2:R12" si="3">P2*H2</f>
        <v>63</v>
      </c>
      <c r="S2" s="19">
        <f t="shared" ref="S2:S12" si="4">Q2*H2</f>
        <v>81</v>
      </c>
      <c r="T2" s="15">
        <f>X$2</f>
        <v>57.6</v>
      </c>
      <c r="U2" s="15">
        <f>Y$2</f>
        <v>68</v>
      </c>
      <c r="V2" s="17">
        <v>66</v>
      </c>
      <c r="W2"/>
      <c r="X2" s="7" cm="1">
        <f t="array" ref="X2">_xlfn.PERCENTILE.INC(_xlfn.TAKE(_xlfn._xlws.FILTER(V:V, V:V&lt;&gt;""), -5), 0.15)</f>
        <v>57.6</v>
      </c>
      <c r="Y2" s="7" cm="1">
        <f t="array" ref="Y2">_xlfn.PERCENTILE.INC(_xlfn.TAKE(_xlfn._xlws.FILTER(V:V, V:V&lt;&gt;""), -5), 0.5)</f>
        <v>68</v>
      </c>
      <c r="AA2" s="7">
        <v>3.5</v>
      </c>
      <c r="AB2" s="7">
        <v>4.5</v>
      </c>
      <c r="AC2" s="20">
        <f>J12-I12</f>
        <v>78</v>
      </c>
      <c r="AD2" s="21">
        <f>(AC2/X2)*10</f>
        <v>13.541666666666668</v>
      </c>
    </row>
    <row r="3" spans="1:30" ht="13" customHeight="1" x14ac:dyDescent="0.15">
      <c r="A3" s="6" t="str">
        <f t="shared" si="0"/>
        <v>Nov</v>
      </c>
      <c r="B3" s="7">
        <v>2</v>
      </c>
      <c r="C3" s="10" t="s">
        <v>12</v>
      </c>
      <c r="D3" s="7" t="str">
        <f t="shared" si="1"/>
        <v>Sprint 2</v>
      </c>
      <c r="E3" s="12" t="d">
        <f>F2+1</f>
        <v>2025-11-17</v>
      </c>
      <c r="F3" s="12" t="d">
        <f t="shared" ref="F3:F12" si="5">E3+13</f>
        <v>2025-11-30</v>
      </c>
      <c r="G3" s="11">
        <v>10</v>
      </c>
      <c r="H3" s="13">
        <v>2</v>
      </c>
      <c r="I3" s="14">
        <v>500</v>
      </c>
      <c r="J3" s="14">
        <v>500</v>
      </c>
      <c r="K3" s="8">
        <f>K2+V3</f>
        <v>146</v>
      </c>
      <c r="L3" s="8"/>
      <c r="M3" s="8"/>
      <c r="N3" s="14">
        <f>N2+R3</f>
        <v>133</v>
      </c>
      <c r="O3" s="14">
        <f>O2+S3</f>
        <v>171</v>
      </c>
      <c r="P3" s="19">
        <f t="shared" ref="P3:P12" si="6">$AA$2*G3</f>
        <v>35</v>
      </c>
      <c r="Q3" s="19">
        <f t="shared" si="2"/>
        <v>45</v>
      </c>
      <c r="R3" s="19">
        <f t="shared" si="3"/>
        <v>70</v>
      </c>
      <c r="S3" s="19">
        <f t="shared" si="4"/>
        <v>90</v>
      </c>
      <c r="T3" s="15">
        <f t="shared" ref="T3:T12" si="7">X$2</f>
        <v>57.6</v>
      </c>
      <c r="U3" s="15">
        <f t="shared" ref="U3:U12" si="8">Y$2</f>
        <v>68</v>
      </c>
      <c r="V3" s="17">
        <v>80</v>
      </c>
      <c r="W3"/>
      <c r="AA3" s="9" t="s">
        <v>10</v>
      </c>
      <c r="AB3" s="9" t="s">
        <v>9</v>
      </c>
      <c r="AC3" s="18"/>
    </row>
    <row r="4" spans="1:30" ht="13" x14ac:dyDescent="0.15">
      <c r="A4" s="6" t="str">
        <f t="shared" si="0"/>
        <v>Dec</v>
      </c>
      <c r="B4" s="7">
        <v>3</v>
      </c>
      <c r="C4" s="10" t="s">
        <v>13</v>
      </c>
      <c r="D4" s="7" t="str">
        <f t="shared" si="1"/>
        <v>Sprint 3</v>
      </c>
      <c r="E4" s="12" t="d">
        <f t="shared" ref="E4:E12" si="9">F3+1</f>
        <v>2025-12-01</v>
      </c>
      <c r="F4" s="12" t="d">
        <f t="shared" si="5"/>
        <v>2025-12-14</v>
      </c>
      <c r="G4" s="11">
        <v>10</v>
      </c>
      <c r="H4" s="13">
        <v>2</v>
      </c>
      <c r="I4" s="14">
        <v>500</v>
      </c>
      <c r="J4" s="14">
        <v>500</v>
      </c>
      <c r="K4" s="8">
        <f>K3+V4</f>
        <v>214</v>
      </c>
      <c r="L4" s="8"/>
      <c r="M4" s="8"/>
      <c r="N4" s="14">
        <f t="shared" ref="N4:N12" si="10">N3+R4</f>
        <v>203</v>
      </c>
      <c r="O4" s="14">
        <f t="shared" ref="O4:O11" si="11">O3+S4</f>
        <v>261</v>
      </c>
      <c r="P4" s="19">
        <f t="shared" si="6"/>
        <v>35</v>
      </c>
      <c r="Q4" s="19">
        <f t="shared" si="2"/>
        <v>45</v>
      </c>
      <c r="R4" s="19">
        <f t="shared" si="3"/>
        <v>70</v>
      </c>
      <c r="S4" s="19">
        <f t="shared" si="4"/>
        <v>90</v>
      </c>
      <c r="T4" s="15">
        <f t="shared" si="7"/>
        <v>57.6</v>
      </c>
      <c r="U4" s="15">
        <f t="shared" si="8"/>
        <v>68</v>
      </c>
      <c r="V4" s="17">
        <v>68</v>
      </c>
      <c r="W4"/>
      <c r="AC4" s="18"/>
    </row>
    <row r="5" spans="1:30" ht="13" x14ac:dyDescent="0.15">
      <c r="A5" s="6" t="str">
        <f t="shared" si="0"/>
        <v>Dec</v>
      </c>
      <c r="B5" s="7">
        <v>4</v>
      </c>
      <c r="C5" s="10" t="s">
        <v>14</v>
      </c>
      <c r="D5" s="7" t="str">
        <f t="shared" si="1"/>
        <v>Sprint 4</v>
      </c>
      <c r="E5" s="12" t="d">
        <f t="shared" si="9"/>
        <v>2025-12-15</v>
      </c>
      <c r="F5" s="12" t="d">
        <f t="shared" si="5"/>
        <v>2025-12-28</v>
      </c>
      <c r="G5" s="11">
        <v>7</v>
      </c>
      <c r="H5" s="13">
        <v>2</v>
      </c>
      <c r="I5" s="14">
        <v>500</v>
      </c>
      <c r="J5" s="14">
        <v>520</v>
      </c>
      <c r="K5" s="8">
        <f>K4+V5</f>
        <v>259</v>
      </c>
      <c r="L5" s="8"/>
      <c r="M5" s="8"/>
      <c r="N5" s="14">
        <f t="shared" si="10"/>
        <v>252</v>
      </c>
      <c r="O5" s="14">
        <f t="shared" si="11"/>
        <v>324</v>
      </c>
      <c r="P5" s="19">
        <f t="shared" si="6"/>
        <v>24.5</v>
      </c>
      <c r="Q5" s="19">
        <f t="shared" si="2"/>
        <v>31.5</v>
      </c>
      <c r="R5" s="19">
        <f t="shared" si="3"/>
        <v>49</v>
      </c>
      <c r="S5" s="19">
        <f t="shared" si="4"/>
        <v>63</v>
      </c>
      <c r="T5" s="15">
        <f t="shared" si="7"/>
        <v>57.6</v>
      </c>
      <c r="U5" s="15">
        <f t="shared" si="8"/>
        <v>68</v>
      </c>
      <c r="V5" s="17">
        <v>45</v>
      </c>
      <c r="W5"/>
      <c r="AC5" s="18"/>
    </row>
    <row r="6" spans="1:30" ht="13" x14ac:dyDescent="0.15">
      <c r="A6" s="6" t="str">
        <f t="shared" si="0"/>
        <v>Dec</v>
      </c>
      <c r="B6" s="7">
        <v>5</v>
      </c>
      <c r="C6" s="10" t="s">
        <v>15</v>
      </c>
      <c r="D6" s="7" t="str">
        <f t="shared" si="1"/>
        <v>Sprint 5</v>
      </c>
      <c r="E6" s="12" t="d">
        <f t="shared" si="9"/>
        <v>2025-12-29</v>
      </c>
      <c r="F6" s="12" t="d">
        <f t="shared" si="5"/>
        <v>2026-01-11</v>
      </c>
      <c r="G6" s="11">
        <v>7</v>
      </c>
      <c r="H6" s="13">
        <v>2</v>
      </c>
      <c r="I6" s="14">
        <v>500</v>
      </c>
      <c r="J6" s="14">
        <v>578</v>
      </c>
      <c r="K6" s="8">
        <f>K5+V6</f>
        <v>331</v>
      </c>
      <c r="L6" s="8">
        <f>K6</f>
        <v>331</v>
      </c>
      <c r="M6" s="8">
        <f>K6</f>
        <v>331</v>
      </c>
      <c r="N6" s="14">
        <f t="shared" si="10"/>
        <v>301</v>
      </c>
      <c r="O6" s="14">
        <f t="shared" si="11"/>
        <v>387</v>
      </c>
      <c r="P6" s="19">
        <f t="shared" si="6"/>
        <v>24.5</v>
      </c>
      <c r="Q6" s="19">
        <f t="shared" si="2"/>
        <v>31.5</v>
      </c>
      <c r="R6" s="19">
        <f t="shared" si="3"/>
        <v>49</v>
      </c>
      <c r="S6" s="19">
        <f t="shared" si="4"/>
        <v>63</v>
      </c>
      <c r="T6" s="15">
        <f t="shared" si="7"/>
        <v>57.6</v>
      </c>
      <c r="U6" s="15">
        <f t="shared" si="8"/>
        <v>68</v>
      </c>
      <c r="V6" s="17">
        <v>72</v>
      </c>
      <c r="W6"/>
      <c r="AC6" s="18"/>
    </row>
    <row r="7" spans="1:30" ht="13" x14ac:dyDescent="0.15">
      <c r="A7" s="6" t="str">
        <f t="shared" si="0"/>
        <v>Jan</v>
      </c>
      <c r="B7" s="7">
        <v>6</v>
      </c>
      <c r="C7" s="10" t="s">
        <v>16</v>
      </c>
      <c r="D7" s="7" t="str">
        <f t="shared" si="1"/>
        <v>Sprint 6</v>
      </c>
      <c r="E7" s="12" t="d">
        <f t="shared" si="9"/>
        <v>2026-01-12</v>
      </c>
      <c r="F7" s="12" t="d">
        <f t="shared" si="5"/>
        <v>2026-01-25</v>
      </c>
      <c r="G7" s="11">
        <v>10</v>
      </c>
      <c r="H7" s="13">
        <v>2</v>
      </c>
      <c r="I7" s="14">
        <v>500</v>
      </c>
      <c r="J7" s="14">
        <f>J6</f>
        <v>578</v>
      </c>
      <c r="K7" s="8"/>
      <c r="L7" s="8">
        <f>L6+T6</f>
        <v>388.6</v>
      </c>
      <c r="M7" s="8">
        <f t="shared" ref="M7:M12" si="12">M6+U7</f>
        <v>399</v>
      </c>
      <c r="N7" s="14">
        <f t="shared" si="10"/>
        <v>371</v>
      </c>
      <c r="O7" s="14">
        <f t="shared" si="11"/>
        <v>477</v>
      </c>
      <c r="P7" s="19">
        <f t="shared" si="6"/>
        <v>35</v>
      </c>
      <c r="Q7" s="19">
        <f t="shared" si="2"/>
        <v>45</v>
      </c>
      <c r="R7" s="19">
        <f t="shared" si="3"/>
        <v>70</v>
      </c>
      <c r="S7" s="19">
        <f t="shared" si="4"/>
        <v>90</v>
      </c>
      <c r="T7" s="15">
        <f t="shared" si="7"/>
        <v>57.6</v>
      </c>
      <c r="U7" s="15">
        <f t="shared" si="8"/>
        <v>68</v>
      </c>
      <c r="V7" s="17"/>
      <c r="W7"/>
      <c r="AC7" s="18"/>
    </row>
    <row r="8" spans="1:30" ht="13" x14ac:dyDescent="0.15">
      <c r="A8" s="6" t="str">
        <f t="shared" si="0"/>
        <v>Jan</v>
      </c>
      <c r="B8" s="7">
        <v>7</v>
      </c>
      <c r="C8" s="10" t="s">
        <v>17</v>
      </c>
      <c r="D8" s="7" t="str">
        <f t="shared" si="1"/>
        <v>Sprint 7</v>
      </c>
      <c r="E8" s="12" t="d">
        <f t="shared" si="9"/>
        <v>2026-01-26</v>
      </c>
      <c r="F8" s="12" t="d">
        <f t="shared" si="5"/>
        <v>2026-02-08</v>
      </c>
      <c r="G8" s="11">
        <v>10</v>
      </c>
      <c r="H8" s="13">
        <v>2</v>
      </c>
      <c r="I8" s="14">
        <v>500</v>
      </c>
      <c r="J8" s="14">
        <f t="shared" ref="J8:J12" si="13">J7</f>
        <v>578</v>
      </c>
      <c r="K8" s="8"/>
      <c r="L8" s="8">
        <f t="shared" ref="L8:L12" si="14">L7+T7</f>
        <v>446.20000000000005</v>
      </c>
      <c r="M8" s="8">
        <f t="shared" si="12"/>
        <v>467</v>
      </c>
      <c r="N8" s="14">
        <f t="shared" si="10"/>
        <v>441</v>
      </c>
      <c r="O8" s="14">
        <f t="shared" si="11"/>
        <v>567</v>
      </c>
      <c r="P8" s="19">
        <f t="shared" si="6"/>
        <v>35</v>
      </c>
      <c r="Q8" s="19">
        <f t="shared" si="2"/>
        <v>45</v>
      </c>
      <c r="R8" s="19">
        <f t="shared" si="3"/>
        <v>70</v>
      </c>
      <c r="S8" s="19">
        <f t="shared" si="4"/>
        <v>90</v>
      </c>
      <c r="T8" s="15">
        <f t="shared" si="7"/>
        <v>57.6</v>
      </c>
      <c r="U8" s="15">
        <f t="shared" si="8"/>
        <v>68</v>
      </c>
      <c r="V8" s="17"/>
      <c r="W8"/>
      <c r="AC8" s="18"/>
    </row>
    <row r="9" spans="1:30" ht="13" x14ac:dyDescent="0.15">
      <c r="A9" s="6" t="str">
        <f t="shared" si="0"/>
        <v>Feb</v>
      </c>
      <c r="B9" s="7">
        <v>8</v>
      </c>
      <c r="C9" s="10" t="s">
        <v>18</v>
      </c>
      <c r="D9" s="7" t="str">
        <f t="shared" si="1"/>
        <v>Sprint 8</v>
      </c>
      <c r="E9" s="12" t="d">
        <f t="shared" si="9"/>
        <v>2026-02-09</v>
      </c>
      <c r="F9" s="12" t="d">
        <f t="shared" si="5"/>
        <v>2026-02-22</v>
      </c>
      <c r="G9" s="11">
        <v>10</v>
      </c>
      <c r="H9" s="13">
        <v>2</v>
      </c>
      <c r="I9" s="14">
        <v>500</v>
      </c>
      <c r="J9" s="14">
        <f t="shared" si="13"/>
        <v>578</v>
      </c>
      <c r="K9" s="8"/>
      <c r="L9" s="8">
        <f t="shared" si="14"/>
        <v>503.80000000000007</v>
      </c>
      <c r="M9" s="8">
        <f t="shared" si="12"/>
        <v>535</v>
      </c>
      <c r="N9" s="14">
        <f t="shared" si="10"/>
        <v>511</v>
      </c>
      <c r="O9" s="14">
        <f t="shared" si="11"/>
        <v>657</v>
      </c>
      <c r="P9" s="19">
        <f t="shared" si="6"/>
        <v>35</v>
      </c>
      <c r="Q9" s="19">
        <f t="shared" si="2"/>
        <v>45</v>
      </c>
      <c r="R9" s="19">
        <f t="shared" si="3"/>
        <v>70</v>
      </c>
      <c r="S9" s="19">
        <f t="shared" si="4"/>
        <v>90</v>
      </c>
      <c r="T9" s="15">
        <f t="shared" si="7"/>
        <v>57.6</v>
      </c>
      <c r="U9" s="15">
        <f t="shared" si="8"/>
        <v>68</v>
      </c>
      <c r="V9" s="17"/>
      <c r="W9"/>
      <c r="AC9" s="18"/>
    </row>
    <row r="10" spans="1:30" ht="13" x14ac:dyDescent="0.15">
      <c r="A10" s="6" t="str">
        <f t="shared" si="0"/>
        <v>Feb</v>
      </c>
      <c r="B10" s="7">
        <v>9</v>
      </c>
      <c r="C10" s="10" t="s">
        <v>21</v>
      </c>
      <c r="D10" s="7" t="str">
        <f t="shared" si="1"/>
        <v>Sprint 9</v>
      </c>
      <c r="E10" s="12" t="d">
        <f t="shared" si="9"/>
        <v>2026-02-23</v>
      </c>
      <c r="F10" s="12" t="d">
        <f t="shared" si="5"/>
        <v>2026-03-08</v>
      </c>
      <c r="G10" s="11">
        <v>10</v>
      </c>
      <c r="H10" s="13">
        <v>2</v>
      </c>
      <c r="I10" s="14">
        <v>500</v>
      </c>
      <c r="J10" s="14">
        <f t="shared" si="13"/>
        <v>578</v>
      </c>
      <c r="K10" s="8"/>
      <c r="L10" s="8">
        <f t="shared" si="14"/>
        <v>561.40000000000009</v>
      </c>
      <c r="M10" s="8">
        <f t="shared" si="12"/>
        <v>603</v>
      </c>
      <c r="N10" s="14">
        <f t="shared" si="10"/>
        <v>581</v>
      </c>
      <c r="O10" s="14">
        <f t="shared" si="11"/>
        <v>747</v>
      </c>
      <c r="P10" s="19">
        <f t="shared" si="6"/>
        <v>35</v>
      </c>
      <c r="Q10" s="19">
        <f t="shared" si="2"/>
        <v>45</v>
      </c>
      <c r="R10" s="19">
        <f t="shared" si="3"/>
        <v>70</v>
      </c>
      <c r="S10" s="19">
        <f t="shared" si="4"/>
        <v>90</v>
      </c>
      <c r="T10" s="15">
        <f t="shared" si="7"/>
        <v>57.6</v>
      </c>
      <c r="U10" s="15">
        <f t="shared" si="8"/>
        <v>68</v>
      </c>
      <c r="V10" s="17"/>
      <c r="W10"/>
      <c r="AC10" s="18"/>
    </row>
    <row r="11" spans="1:30" ht="13" x14ac:dyDescent="0.15">
      <c r="A11" s="6" t="str">
        <f t="shared" si="0"/>
        <v>Mar</v>
      </c>
      <c r="B11" s="7">
        <v>10</v>
      </c>
      <c r="C11" s="10" t="s">
        <v>22</v>
      </c>
      <c r="D11" s="7" t="str">
        <f t="shared" si="1"/>
        <v>Sprint 10</v>
      </c>
      <c r="E11" s="12" t="d">
        <f t="shared" si="9"/>
        <v>2026-03-09</v>
      </c>
      <c r="F11" s="12" t="d">
        <f t="shared" si="5"/>
        <v>2026-03-22</v>
      </c>
      <c r="G11" s="11">
        <v>10</v>
      </c>
      <c r="H11" s="13">
        <v>2</v>
      </c>
      <c r="I11" s="14">
        <v>500</v>
      </c>
      <c r="J11" s="14">
        <f t="shared" si="13"/>
        <v>578</v>
      </c>
      <c r="K11" s="8"/>
      <c r="L11" s="8">
        <f t="shared" si="14"/>
        <v>619.00000000000011</v>
      </c>
      <c r="M11" s="8">
        <f t="shared" si="12"/>
        <v>671</v>
      </c>
      <c r="N11" s="14">
        <f t="shared" si="10"/>
        <v>651</v>
      </c>
      <c r="O11" s="14">
        <f t="shared" si="11"/>
        <v>837</v>
      </c>
      <c r="P11" s="19">
        <f t="shared" si="6"/>
        <v>35</v>
      </c>
      <c r="Q11" s="19">
        <f t="shared" si="2"/>
        <v>45</v>
      </c>
      <c r="R11" s="19">
        <f t="shared" si="3"/>
        <v>70</v>
      </c>
      <c r="S11" s="19">
        <f t="shared" si="4"/>
        <v>90</v>
      </c>
      <c r="T11" s="15">
        <f t="shared" si="7"/>
        <v>57.6</v>
      </c>
      <c r="U11" s="15">
        <f t="shared" si="8"/>
        <v>68</v>
      </c>
      <c r="V11" s="17"/>
      <c r="W11"/>
      <c r="AC11" s="18"/>
    </row>
    <row r="12" spans="1:30" ht="12.75" customHeight="1" x14ac:dyDescent="0.15">
      <c r="A12" s="6" t="str">
        <f t="shared" si="0"/>
        <v>Mar</v>
      </c>
      <c r="B12" s="7">
        <v>11</v>
      </c>
      <c r="C12" s="10" t="s">
        <v>23</v>
      </c>
      <c r="D12" s="7" t="str">
        <f t="shared" si="1"/>
        <v>Sprint 11</v>
      </c>
      <c r="E12" s="12" t="d">
        <f t="shared" si="9"/>
        <v>2026-03-23</v>
      </c>
      <c r="F12" s="12" t="d">
        <f t="shared" si="5"/>
        <v>2026-04-05</v>
      </c>
      <c r="G12" s="11">
        <v>10</v>
      </c>
      <c r="H12" s="13">
        <v>2</v>
      </c>
      <c r="I12" s="14">
        <v>500</v>
      </c>
      <c r="J12" s="14">
        <f t="shared" si="13"/>
        <v>578</v>
      </c>
      <c r="K12" s="16"/>
      <c r="L12" s="8">
        <f t="shared" si="14"/>
        <v>676.60000000000014</v>
      </c>
      <c r="M12" s="8">
        <f t="shared" si="12"/>
        <v>739</v>
      </c>
      <c r="N12" s="14">
        <f t="shared" si="10"/>
        <v>721</v>
      </c>
      <c r="O12" s="14">
        <f t="shared" ref="O12" si="15">O11+S12</f>
        <v>927</v>
      </c>
      <c r="P12" s="19">
        <f t="shared" si="6"/>
        <v>35</v>
      </c>
      <c r="Q12" s="19">
        <f t="shared" si="2"/>
        <v>45</v>
      </c>
      <c r="R12" s="19">
        <f t="shared" si="3"/>
        <v>70</v>
      </c>
      <c r="S12" s="19">
        <f t="shared" si="4"/>
        <v>90</v>
      </c>
      <c r="T12" s="15">
        <f t="shared" si="7"/>
        <v>57.6</v>
      </c>
      <c r="U12" s="15">
        <f t="shared" si="8"/>
        <v>68</v>
      </c>
      <c r="V12" s="17"/>
      <c r="W12"/>
      <c r="AC12" s="18"/>
    </row>
    <row r="13" spans="1:30" ht="12.75" customHeight="1" x14ac:dyDescent="0.15">
      <c r="W13"/>
    </row>
    <row r="14" spans="1:30" ht="12.75" customHeight="1" x14ac:dyDescent="0.15">
      <c r="W14"/>
    </row>
    <row r="15" spans="1:30" ht="28.5" customHeight="1" x14ac:dyDescent="0.15">
      <c r="W15"/>
    </row>
    <row r="16" spans="1:30" ht="20.25" customHeight="1" x14ac:dyDescent="0.15">
      <c r="W16"/>
    </row>
    <row r="17" ht="22.5" customHeight="1" x14ac:dyDescent="0.15"/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658A-B231-470F-A2B4-84D830F5AB51}">
  <sheetPr codeName="Sheet7"/>
  <dimension ref="A1:AD17"/>
  <sheetViews>
    <sheetView showGridLines="0" zoomScale="180" zoomScaleNormal="180" workbookViewId="0">
      <pane ySplit="1" topLeftCell="A2" activePane="bottomLeft" state="frozen"/>
      <selection pane="bottomLeft" activeCell="F16" sqref="F16"/>
    </sheetView>
  </sheetViews>
  <sheetFormatPr baseColWidth="10" defaultColWidth="8.6640625" defaultRowHeight="12.75" customHeight="1" x14ac:dyDescent="0.15"/>
  <cols>
    <col min="1" max="1" width="7.5" customWidth="1"/>
    <col min="2" max="2" width="6.6640625" customWidth="1"/>
    <col min="3" max="3" width="13.6640625" customWidth="1"/>
    <col min="4" max="4" width="8.5" customWidth="1"/>
    <col min="5" max="6" width="9" customWidth="1"/>
    <col min="7" max="8" width="9.83203125" customWidth="1"/>
    <col min="9" max="9" width="11.1640625" customWidth="1"/>
    <col min="10" max="10" width="13.1640625" customWidth="1"/>
    <col min="11" max="12" width="14.33203125" style="1" customWidth="1"/>
    <col min="13" max="13" width="11.33203125" style="1" customWidth="1"/>
    <col min="14" max="14" width="16.5" style="1" customWidth="1"/>
    <col min="15" max="15" width="15" style="1" customWidth="1"/>
    <col min="16" max="16" width="15.33203125" style="1" customWidth="1"/>
    <col min="17" max="17" width="13.6640625" style="1" customWidth="1"/>
    <col min="18" max="18" width="15.33203125" style="1" customWidth="1"/>
    <col min="19" max="20" width="13.6640625" style="1" customWidth="1"/>
    <col min="21" max="21" width="10.5" style="1" customWidth="1"/>
    <col min="22" max="22" width="12.33203125" style="1" customWidth="1"/>
    <col min="23" max="23" width="6.5" style="1" customWidth="1"/>
    <col min="24" max="25" width="7.5" customWidth="1"/>
    <col min="26" max="26" width="3.1640625" customWidth="1"/>
    <col min="27" max="28" width="15.6640625" customWidth="1"/>
    <col min="29" max="30" width="11.33203125" customWidth="1"/>
  </cols>
  <sheetData>
    <row r="1" spans="1:30" s="4" customFormat="1" ht="43" customHeight="1" x14ac:dyDescent="0.1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24</v>
      </c>
      <c r="J1" s="3" t="s">
        <v>29</v>
      </c>
      <c r="K1" s="3" t="s">
        <v>31</v>
      </c>
      <c r="L1" s="3" t="s">
        <v>36</v>
      </c>
      <c r="M1" s="3" t="s">
        <v>37</v>
      </c>
      <c r="N1" s="5" t="s">
        <v>30</v>
      </c>
      <c r="O1" s="5" t="s">
        <v>32</v>
      </c>
      <c r="P1" s="5" t="s">
        <v>25</v>
      </c>
      <c r="Q1" s="5" t="s">
        <v>26</v>
      </c>
      <c r="R1" s="5" t="s">
        <v>34</v>
      </c>
      <c r="S1" s="5" t="s">
        <v>35</v>
      </c>
      <c r="T1" s="5" t="s">
        <v>28</v>
      </c>
      <c r="U1" s="5" t="s">
        <v>27</v>
      </c>
      <c r="V1" s="3" t="s">
        <v>33</v>
      </c>
      <c r="W1"/>
      <c r="X1" s="5" t="s">
        <v>19</v>
      </c>
      <c r="Y1" s="5" t="s">
        <v>20</v>
      </c>
      <c r="Z1"/>
      <c r="AA1" s="5" t="s">
        <v>7</v>
      </c>
      <c r="AB1" s="5" t="s">
        <v>8</v>
      </c>
      <c r="AC1" s="3" t="s">
        <v>39</v>
      </c>
      <c r="AD1" s="3" t="s">
        <v>40</v>
      </c>
    </row>
    <row r="2" spans="1:30" ht="13" x14ac:dyDescent="0.15">
      <c r="A2" s="6" t="str">
        <f t="shared" ref="A2:A12" si="0">TEXT(E2,"[$-409]MMM")</f>
        <v>Nov</v>
      </c>
      <c r="B2" s="7">
        <v>1</v>
      </c>
      <c r="C2" s="10" t="s">
        <v>11</v>
      </c>
      <c r="D2" s="7" t="str">
        <f t="shared" ref="D2:D12" si="1">$D$1&amp;" "&amp;B2</f>
        <v>Sprint 1</v>
      </c>
      <c r="E2" s="12" t="d">
        <f>Model_BE!E2</f>
        <v>2025-11-03</v>
      </c>
      <c r="F2" s="12" t="d">
        <f>E2+13</f>
        <v>2025-11-16</v>
      </c>
      <c r="G2" s="11">
        <v>9</v>
      </c>
      <c r="H2" s="13">
        <v>1.5</v>
      </c>
      <c r="I2" s="14">
        <v>400</v>
      </c>
      <c r="J2" s="14">
        <v>400</v>
      </c>
      <c r="K2" s="8">
        <f>V2</f>
        <v>55</v>
      </c>
      <c r="L2" s="8"/>
      <c r="M2" s="8"/>
      <c r="N2" s="8">
        <f>R2</f>
        <v>47.25</v>
      </c>
      <c r="O2" s="8">
        <f>S2</f>
        <v>60.75</v>
      </c>
      <c r="P2" s="15">
        <f t="shared" ref="P2:P12" si="2">$AA$2*G2</f>
        <v>31.5</v>
      </c>
      <c r="Q2" s="15">
        <f t="shared" ref="Q2:Q12" si="3">$AB$2*G2</f>
        <v>40.5</v>
      </c>
      <c r="R2" s="15">
        <f t="shared" ref="R2:R12" si="4">P2*H2</f>
        <v>47.25</v>
      </c>
      <c r="S2" s="15">
        <f t="shared" ref="S2:S12" si="5">Q2*H2</f>
        <v>60.75</v>
      </c>
      <c r="T2" s="15">
        <f>X$2</f>
        <v>53</v>
      </c>
      <c r="U2" s="15">
        <f t="shared" ref="U2:U12" si="6">Y$2</f>
        <v>55</v>
      </c>
      <c r="V2" s="17">
        <v>55</v>
      </c>
      <c r="W2"/>
      <c r="X2" s="7" cm="1">
        <f t="array" ref="X2">_xlfn.PERCENTILE.INC(_xlfn.TAKE(_xlfn._xlws.FILTER(V:V, V:V&lt;&gt;""), -5), 0.15)</f>
        <v>53</v>
      </c>
      <c r="Y2" s="7" cm="1">
        <f t="array" ref="Y2">_xlfn.PERCENTILE.INC(_xlfn.TAKE(_xlfn._xlws.FILTER(V:V, V:V&lt;&gt;""), -5), 0.5)</f>
        <v>55</v>
      </c>
      <c r="AA2" s="7">
        <v>3.5</v>
      </c>
      <c r="AB2" s="7">
        <v>4.5</v>
      </c>
      <c r="AC2" s="20">
        <f>J12-I12</f>
        <v>20</v>
      </c>
      <c r="AD2" s="21">
        <f>(AC2/X2)*10</f>
        <v>3.7735849056603774</v>
      </c>
    </row>
    <row r="3" spans="1:30" ht="13" customHeight="1" x14ac:dyDescent="0.15">
      <c r="A3" s="6" t="str">
        <f t="shared" si="0"/>
        <v>Nov</v>
      </c>
      <c r="B3" s="7">
        <v>2</v>
      </c>
      <c r="C3" s="10" t="s">
        <v>12</v>
      </c>
      <c r="D3" s="7" t="str">
        <f t="shared" si="1"/>
        <v>Sprint 2</v>
      </c>
      <c r="E3" s="12" t="d">
        <f>F2+1</f>
        <v>2025-11-17</v>
      </c>
      <c r="F3" s="12" t="d">
        <f t="shared" ref="F3:F12" si="7">E3+13</f>
        <v>2025-11-30</v>
      </c>
      <c r="G3" s="11">
        <v>10</v>
      </c>
      <c r="H3" s="13">
        <v>1.5</v>
      </c>
      <c r="I3" s="14">
        <v>400</v>
      </c>
      <c r="J3" s="14">
        <v>400</v>
      </c>
      <c r="K3" s="8">
        <f>K2+V3</f>
        <v>115</v>
      </c>
      <c r="L3" s="8"/>
      <c r="M3" s="8"/>
      <c r="N3" s="8">
        <f>N2+R3</f>
        <v>99.75</v>
      </c>
      <c r="O3" s="8">
        <f>O2+S3</f>
        <v>128.25</v>
      </c>
      <c r="P3" s="15">
        <f t="shared" si="2"/>
        <v>35</v>
      </c>
      <c r="Q3" s="15">
        <f t="shared" si="3"/>
        <v>45</v>
      </c>
      <c r="R3" s="15">
        <f t="shared" si="4"/>
        <v>52.5</v>
      </c>
      <c r="S3" s="15">
        <f t="shared" si="5"/>
        <v>67.5</v>
      </c>
      <c r="T3" s="15">
        <f t="shared" ref="T3:T12" si="8">X$2</f>
        <v>53</v>
      </c>
      <c r="U3" s="15">
        <f t="shared" si="6"/>
        <v>55</v>
      </c>
      <c r="V3" s="17">
        <v>60</v>
      </c>
      <c r="W3"/>
      <c r="AA3" s="9" t="s">
        <v>10</v>
      </c>
      <c r="AB3" s="9" t="s">
        <v>9</v>
      </c>
      <c r="AC3" s="18"/>
    </row>
    <row r="4" spans="1:30" ht="13" x14ac:dyDescent="0.15">
      <c r="A4" s="6" t="str">
        <f t="shared" si="0"/>
        <v>Dec</v>
      </c>
      <c r="B4" s="7">
        <v>3</v>
      </c>
      <c r="C4" s="10" t="s">
        <v>13</v>
      </c>
      <c r="D4" s="7" t="str">
        <f t="shared" si="1"/>
        <v>Sprint 3</v>
      </c>
      <c r="E4" s="12" t="d">
        <f t="shared" ref="E4:E12" si="9">F3+1</f>
        <v>2025-12-01</v>
      </c>
      <c r="F4" s="12" t="d">
        <f t="shared" si="7"/>
        <v>2025-12-14</v>
      </c>
      <c r="G4" s="11">
        <v>10</v>
      </c>
      <c r="H4" s="13">
        <v>1.5</v>
      </c>
      <c r="I4" s="14">
        <v>400</v>
      </c>
      <c r="J4" s="14">
        <v>420</v>
      </c>
      <c r="K4" s="8">
        <f>K3+V4</f>
        <v>179</v>
      </c>
      <c r="L4" s="8"/>
      <c r="M4" s="8"/>
      <c r="N4" s="8">
        <f t="shared" ref="N4:O12" si="10">N3+R4</f>
        <v>152.25</v>
      </c>
      <c r="O4" s="8">
        <f t="shared" si="10"/>
        <v>195.75</v>
      </c>
      <c r="P4" s="15">
        <f t="shared" si="2"/>
        <v>35</v>
      </c>
      <c r="Q4" s="15">
        <f t="shared" si="3"/>
        <v>45</v>
      </c>
      <c r="R4" s="15">
        <f t="shared" si="4"/>
        <v>52.5</v>
      </c>
      <c r="S4" s="15">
        <f t="shared" si="5"/>
        <v>67.5</v>
      </c>
      <c r="T4" s="15">
        <f t="shared" si="8"/>
        <v>53</v>
      </c>
      <c r="U4" s="15">
        <f t="shared" si="6"/>
        <v>55</v>
      </c>
      <c r="V4" s="17">
        <v>64</v>
      </c>
      <c r="W4"/>
      <c r="AC4" s="18"/>
    </row>
    <row r="5" spans="1:30" ht="13" x14ac:dyDescent="0.15">
      <c r="A5" s="6" t="str">
        <f t="shared" si="0"/>
        <v>Dec</v>
      </c>
      <c r="B5" s="7">
        <v>4</v>
      </c>
      <c r="C5" s="10" t="s">
        <v>14</v>
      </c>
      <c r="D5" s="7" t="str">
        <f t="shared" si="1"/>
        <v>Sprint 4</v>
      </c>
      <c r="E5" s="12" t="d">
        <f t="shared" si="9"/>
        <v>2025-12-15</v>
      </c>
      <c r="F5" s="12" t="d">
        <f t="shared" si="7"/>
        <v>2025-12-28</v>
      </c>
      <c r="G5" s="11">
        <v>7</v>
      </c>
      <c r="H5" s="13">
        <v>1.5</v>
      </c>
      <c r="I5" s="14">
        <v>400</v>
      </c>
      <c r="J5" s="14">
        <v>420</v>
      </c>
      <c r="K5" s="8">
        <f>K4+V5</f>
        <v>229</v>
      </c>
      <c r="L5" s="8"/>
      <c r="M5" s="8"/>
      <c r="N5" s="8">
        <f t="shared" si="10"/>
        <v>189</v>
      </c>
      <c r="O5" s="8">
        <f t="shared" si="10"/>
        <v>243</v>
      </c>
      <c r="P5" s="15">
        <f t="shared" si="2"/>
        <v>24.5</v>
      </c>
      <c r="Q5" s="15">
        <f t="shared" si="3"/>
        <v>31.5</v>
      </c>
      <c r="R5" s="15">
        <f t="shared" si="4"/>
        <v>36.75</v>
      </c>
      <c r="S5" s="15">
        <f t="shared" si="5"/>
        <v>47.25</v>
      </c>
      <c r="T5" s="15">
        <f t="shared" si="8"/>
        <v>53</v>
      </c>
      <c r="U5" s="15">
        <f t="shared" si="6"/>
        <v>55</v>
      </c>
      <c r="V5" s="17">
        <v>50</v>
      </c>
      <c r="W5"/>
      <c r="AC5" s="18"/>
    </row>
    <row r="6" spans="1:30" ht="13" x14ac:dyDescent="0.15">
      <c r="A6" s="6" t="str">
        <f t="shared" si="0"/>
        <v>Dec</v>
      </c>
      <c r="B6" s="7">
        <v>5</v>
      </c>
      <c r="C6" s="10" t="s">
        <v>15</v>
      </c>
      <c r="D6" s="7" t="str">
        <f t="shared" si="1"/>
        <v>Sprint 5</v>
      </c>
      <c r="E6" s="12" t="d">
        <f t="shared" si="9"/>
        <v>2025-12-29</v>
      </c>
      <c r="F6" s="12" t="d">
        <f t="shared" si="7"/>
        <v>2026-01-11</v>
      </c>
      <c r="G6" s="11">
        <v>7</v>
      </c>
      <c r="H6" s="13">
        <v>1.5</v>
      </c>
      <c r="I6" s="14">
        <v>400</v>
      </c>
      <c r="J6" s="14">
        <v>420</v>
      </c>
      <c r="K6" s="8">
        <f>K5+V6</f>
        <v>284</v>
      </c>
      <c r="L6" s="8">
        <f>K6</f>
        <v>284</v>
      </c>
      <c r="M6" s="8">
        <f>K6</f>
        <v>284</v>
      </c>
      <c r="N6" s="8">
        <f t="shared" si="10"/>
        <v>225.75</v>
      </c>
      <c r="O6" s="8">
        <f t="shared" si="10"/>
        <v>290.25</v>
      </c>
      <c r="P6" s="15">
        <f t="shared" si="2"/>
        <v>24.5</v>
      </c>
      <c r="Q6" s="15">
        <f t="shared" si="3"/>
        <v>31.5</v>
      </c>
      <c r="R6" s="15">
        <f t="shared" si="4"/>
        <v>36.75</v>
      </c>
      <c r="S6" s="15">
        <f t="shared" si="5"/>
        <v>47.25</v>
      </c>
      <c r="T6" s="15">
        <f t="shared" si="8"/>
        <v>53</v>
      </c>
      <c r="U6" s="15">
        <f t="shared" si="6"/>
        <v>55</v>
      </c>
      <c r="V6" s="17">
        <v>55</v>
      </c>
      <c r="W6"/>
      <c r="AC6" s="18"/>
    </row>
    <row r="7" spans="1:30" ht="13" x14ac:dyDescent="0.15">
      <c r="A7" s="6" t="str">
        <f t="shared" si="0"/>
        <v>Jan</v>
      </c>
      <c r="B7" s="7">
        <v>6</v>
      </c>
      <c r="C7" s="10" t="s">
        <v>16</v>
      </c>
      <c r="D7" s="7" t="str">
        <f t="shared" si="1"/>
        <v>Sprint 6</v>
      </c>
      <c r="E7" s="12" t="d">
        <f t="shared" si="9"/>
        <v>2026-01-12</v>
      </c>
      <c r="F7" s="12" t="d">
        <f t="shared" si="7"/>
        <v>2026-01-25</v>
      </c>
      <c r="G7" s="11">
        <v>10</v>
      </c>
      <c r="H7" s="13">
        <v>1.5</v>
      </c>
      <c r="I7" s="14">
        <v>400</v>
      </c>
      <c r="J7" s="14">
        <v>420</v>
      </c>
      <c r="K7" s="8"/>
      <c r="L7" s="8">
        <f>L6+T7</f>
        <v>337</v>
      </c>
      <c r="M7" s="8">
        <f>M6+U7</f>
        <v>339</v>
      </c>
      <c r="N7" s="8">
        <f t="shared" si="10"/>
        <v>278.25</v>
      </c>
      <c r="O7" s="8">
        <f t="shared" si="10"/>
        <v>357.75</v>
      </c>
      <c r="P7" s="15">
        <f t="shared" si="2"/>
        <v>35</v>
      </c>
      <c r="Q7" s="15">
        <f t="shared" si="3"/>
        <v>45</v>
      </c>
      <c r="R7" s="15">
        <f t="shared" si="4"/>
        <v>52.5</v>
      </c>
      <c r="S7" s="15">
        <f t="shared" si="5"/>
        <v>67.5</v>
      </c>
      <c r="T7" s="15">
        <f t="shared" si="8"/>
        <v>53</v>
      </c>
      <c r="U7" s="15">
        <f t="shared" si="6"/>
        <v>55</v>
      </c>
      <c r="V7" s="17"/>
      <c r="W7"/>
      <c r="AC7" s="18"/>
    </row>
    <row r="8" spans="1:30" ht="13" x14ac:dyDescent="0.15">
      <c r="A8" s="6" t="str">
        <f t="shared" si="0"/>
        <v>Jan</v>
      </c>
      <c r="B8" s="7">
        <v>7</v>
      </c>
      <c r="C8" s="10" t="s">
        <v>17</v>
      </c>
      <c r="D8" s="7" t="str">
        <f t="shared" si="1"/>
        <v>Sprint 7</v>
      </c>
      <c r="E8" s="12" t="d">
        <f t="shared" si="9"/>
        <v>2026-01-26</v>
      </c>
      <c r="F8" s="12" t="d">
        <f t="shared" si="7"/>
        <v>2026-02-08</v>
      </c>
      <c r="G8" s="11">
        <v>10</v>
      </c>
      <c r="H8" s="13">
        <v>1.5</v>
      </c>
      <c r="I8" s="14">
        <v>400</v>
      </c>
      <c r="J8" s="14">
        <v>420</v>
      </c>
      <c r="K8" s="8"/>
      <c r="L8" s="8">
        <f t="shared" ref="L8:L12" si="11">L7+T8</f>
        <v>390</v>
      </c>
      <c r="M8" s="8">
        <f t="shared" ref="M8:M12" si="12">M7+U8</f>
        <v>394</v>
      </c>
      <c r="N8" s="8">
        <f t="shared" si="10"/>
        <v>330.75</v>
      </c>
      <c r="O8" s="8">
        <f t="shared" si="10"/>
        <v>425.25</v>
      </c>
      <c r="P8" s="15">
        <f t="shared" si="2"/>
        <v>35</v>
      </c>
      <c r="Q8" s="15">
        <f t="shared" si="3"/>
        <v>45</v>
      </c>
      <c r="R8" s="15">
        <f t="shared" si="4"/>
        <v>52.5</v>
      </c>
      <c r="S8" s="15">
        <f t="shared" si="5"/>
        <v>67.5</v>
      </c>
      <c r="T8" s="15">
        <f t="shared" si="8"/>
        <v>53</v>
      </c>
      <c r="U8" s="15">
        <f t="shared" si="6"/>
        <v>55</v>
      </c>
      <c r="V8" s="17"/>
      <c r="W8"/>
      <c r="AC8" s="18"/>
    </row>
    <row r="9" spans="1:30" ht="13" x14ac:dyDescent="0.15">
      <c r="A9" s="6" t="str">
        <f t="shared" si="0"/>
        <v>Feb</v>
      </c>
      <c r="B9" s="7">
        <v>8</v>
      </c>
      <c r="C9" s="10" t="s">
        <v>18</v>
      </c>
      <c r="D9" s="7" t="str">
        <f t="shared" si="1"/>
        <v>Sprint 8</v>
      </c>
      <c r="E9" s="12" t="d">
        <f t="shared" si="9"/>
        <v>2026-02-09</v>
      </c>
      <c r="F9" s="12" t="d">
        <f t="shared" si="7"/>
        <v>2026-02-22</v>
      </c>
      <c r="G9" s="11">
        <v>10</v>
      </c>
      <c r="H9" s="13">
        <v>1.5</v>
      </c>
      <c r="I9" s="14">
        <v>400</v>
      </c>
      <c r="J9" s="14">
        <v>420</v>
      </c>
      <c r="K9" s="8"/>
      <c r="L9" s="8">
        <f t="shared" si="11"/>
        <v>443</v>
      </c>
      <c r="M9" s="8">
        <f t="shared" si="12"/>
        <v>449</v>
      </c>
      <c r="N9" s="8">
        <f t="shared" si="10"/>
        <v>383.25</v>
      </c>
      <c r="O9" s="8">
        <f t="shared" si="10"/>
        <v>492.75</v>
      </c>
      <c r="P9" s="15">
        <f t="shared" si="2"/>
        <v>35</v>
      </c>
      <c r="Q9" s="15">
        <f t="shared" si="3"/>
        <v>45</v>
      </c>
      <c r="R9" s="15">
        <f t="shared" si="4"/>
        <v>52.5</v>
      </c>
      <c r="S9" s="15">
        <f t="shared" si="5"/>
        <v>67.5</v>
      </c>
      <c r="T9" s="15">
        <f t="shared" si="8"/>
        <v>53</v>
      </c>
      <c r="U9" s="15">
        <f t="shared" si="6"/>
        <v>55</v>
      </c>
      <c r="V9" s="17"/>
      <c r="W9"/>
      <c r="AC9" s="18"/>
    </row>
    <row r="10" spans="1:30" ht="13" x14ac:dyDescent="0.15">
      <c r="A10" s="6" t="str">
        <f t="shared" si="0"/>
        <v>Feb</v>
      </c>
      <c r="B10" s="7">
        <v>9</v>
      </c>
      <c r="C10" s="10" t="s">
        <v>21</v>
      </c>
      <c r="D10" s="7" t="str">
        <f t="shared" si="1"/>
        <v>Sprint 9</v>
      </c>
      <c r="E10" s="12" t="d">
        <f t="shared" si="9"/>
        <v>2026-02-23</v>
      </c>
      <c r="F10" s="12" t="d">
        <f t="shared" si="7"/>
        <v>2026-03-08</v>
      </c>
      <c r="G10" s="11">
        <v>10</v>
      </c>
      <c r="H10" s="13">
        <v>1.5</v>
      </c>
      <c r="I10" s="14">
        <v>400</v>
      </c>
      <c r="J10" s="14">
        <v>420</v>
      </c>
      <c r="K10" s="8"/>
      <c r="L10" s="8">
        <f t="shared" si="11"/>
        <v>496</v>
      </c>
      <c r="M10" s="8">
        <f t="shared" si="12"/>
        <v>504</v>
      </c>
      <c r="N10" s="8">
        <f t="shared" si="10"/>
        <v>435.75</v>
      </c>
      <c r="O10" s="8">
        <f t="shared" si="10"/>
        <v>560.25</v>
      </c>
      <c r="P10" s="15">
        <f t="shared" si="2"/>
        <v>35</v>
      </c>
      <c r="Q10" s="15">
        <f t="shared" si="3"/>
        <v>45</v>
      </c>
      <c r="R10" s="15">
        <f t="shared" si="4"/>
        <v>52.5</v>
      </c>
      <c r="S10" s="15">
        <f t="shared" si="5"/>
        <v>67.5</v>
      </c>
      <c r="T10" s="15">
        <f t="shared" si="8"/>
        <v>53</v>
      </c>
      <c r="U10" s="15">
        <f t="shared" si="6"/>
        <v>55</v>
      </c>
      <c r="V10" s="17"/>
      <c r="W10"/>
      <c r="AC10" s="18"/>
    </row>
    <row r="11" spans="1:30" ht="13" x14ac:dyDescent="0.15">
      <c r="A11" s="6" t="str">
        <f t="shared" si="0"/>
        <v>Mar</v>
      </c>
      <c r="B11" s="7">
        <v>10</v>
      </c>
      <c r="C11" s="10" t="s">
        <v>22</v>
      </c>
      <c r="D11" s="7" t="str">
        <f t="shared" si="1"/>
        <v>Sprint 10</v>
      </c>
      <c r="E11" s="12" t="d">
        <f t="shared" si="9"/>
        <v>2026-03-09</v>
      </c>
      <c r="F11" s="12" t="d">
        <f t="shared" si="7"/>
        <v>2026-03-22</v>
      </c>
      <c r="G11" s="11">
        <v>10</v>
      </c>
      <c r="H11" s="13">
        <v>1.5</v>
      </c>
      <c r="I11" s="14">
        <v>400</v>
      </c>
      <c r="J11" s="14">
        <v>420</v>
      </c>
      <c r="K11" s="8"/>
      <c r="L11" s="8">
        <f t="shared" si="11"/>
        <v>549</v>
      </c>
      <c r="M11" s="8">
        <f t="shared" si="12"/>
        <v>559</v>
      </c>
      <c r="N11" s="8">
        <f t="shared" si="10"/>
        <v>488.25</v>
      </c>
      <c r="O11" s="8">
        <f t="shared" si="10"/>
        <v>627.75</v>
      </c>
      <c r="P11" s="15">
        <f t="shared" si="2"/>
        <v>35</v>
      </c>
      <c r="Q11" s="15">
        <f t="shared" si="3"/>
        <v>45</v>
      </c>
      <c r="R11" s="15">
        <f t="shared" si="4"/>
        <v>52.5</v>
      </c>
      <c r="S11" s="15">
        <f t="shared" si="5"/>
        <v>67.5</v>
      </c>
      <c r="T11" s="15">
        <f t="shared" si="8"/>
        <v>53</v>
      </c>
      <c r="U11" s="15">
        <f t="shared" si="6"/>
        <v>55</v>
      </c>
      <c r="V11" s="17"/>
      <c r="W11"/>
      <c r="AC11" s="18"/>
    </row>
    <row r="12" spans="1:30" ht="12.75" customHeight="1" x14ac:dyDescent="0.15">
      <c r="A12" s="6" t="str">
        <f t="shared" si="0"/>
        <v>Mar</v>
      </c>
      <c r="B12" s="7">
        <v>11</v>
      </c>
      <c r="C12" s="10" t="s">
        <v>23</v>
      </c>
      <c r="D12" s="7" t="str">
        <f t="shared" si="1"/>
        <v>Sprint 11</v>
      </c>
      <c r="E12" s="12" t="d">
        <f t="shared" si="9"/>
        <v>2026-03-23</v>
      </c>
      <c r="F12" s="12" t="d">
        <f t="shared" si="7"/>
        <v>2026-04-05</v>
      </c>
      <c r="G12" s="11">
        <v>10</v>
      </c>
      <c r="H12" s="13">
        <v>1.5</v>
      </c>
      <c r="I12" s="14">
        <v>400</v>
      </c>
      <c r="J12" s="14">
        <v>420</v>
      </c>
      <c r="K12" s="16"/>
      <c r="L12" s="8">
        <f t="shared" si="11"/>
        <v>602</v>
      </c>
      <c r="M12" s="8">
        <f t="shared" si="12"/>
        <v>614</v>
      </c>
      <c r="N12" s="8">
        <f t="shared" si="10"/>
        <v>540.75</v>
      </c>
      <c r="O12" s="8">
        <f t="shared" si="10"/>
        <v>695.25</v>
      </c>
      <c r="P12" s="15">
        <f t="shared" si="2"/>
        <v>35</v>
      </c>
      <c r="Q12" s="15">
        <f t="shared" si="3"/>
        <v>45</v>
      </c>
      <c r="R12" s="15">
        <f t="shared" si="4"/>
        <v>52.5</v>
      </c>
      <c r="S12" s="15">
        <f t="shared" si="5"/>
        <v>67.5</v>
      </c>
      <c r="T12" s="15">
        <f t="shared" si="8"/>
        <v>53</v>
      </c>
      <c r="U12" s="15">
        <f t="shared" si="6"/>
        <v>55</v>
      </c>
      <c r="V12" s="17"/>
      <c r="W12"/>
      <c r="AC12" s="18"/>
    </row>
    <row r="13" spans="1:30" ht="12.75" customHeight="1" x14ac:dyDescent="0.15">
      <c r="V13" s="18"/>
      <c r="W13"/>
    </row>
    <row r="14" spans="1:30" ht="12.75" customHeight="1" x14ac:dyDescent="0.15">
      <c r="W14"/>
    </row>
    <row r="15" spans="1:30" ht="28.5" customHeight="1" x14ac:dyDescent="0.15">
      <c r="W15"/>
    </row>
    <row r="16" spans="1:30" ht="20.25" customHeight="1" x14ac:dyDescent="0.15">
      <c r="W16"/>
    </row>
    <row r="17" ht="22.5" customHeight="1" x14ac:dyDescent="0.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5055198394104FAA555E71B2560E7D" ma:contentTypeVersion="3" ma:contentTypeDescription="Create a new document." ma:contentTypeScope="" ma:versionID="51b94b5c7d6f91de5e30d3537a6d1d16">
  <xsd:schema xmlns:xsd="http://www.w3.org/2001/XMLSchema" xmlns:xs="http://www.w3.org/2001/XMLSchema" xmlns:p="http://schemas.microsoft.com/office/2006/metadata/properties" xmlns:ns2="aa2ac78b-e7d7-4c22-9cb3-ffbbbc745cb5" targetNamespace="http://schemas.microsoft.com/office/2006/metadata/properties" ma:root="true" ma:fieldsID="b9480ca8f5b54f215c1f9d5470e7f30c" ns2:_="">
    <xsd:import namespace="aa2ac78b-e7d7-4c22-9cb3-ffbbbc745c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ac78b-e7d7-4c22-9cb3-ffbbbc745c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purl.oclc.org/ooxml/officeDocument/customXml" ds:itemID="{C18CA0CA-5C6F-40C2-B09D-1572955CDB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ac78b-e7d7-4c22-9cb3-ffbbbc745c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EE752966-DD51-4E18-9760-627343295D93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5B9071E5-23B8-43B8-8EA6-56C909D5D8DE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aa2ac78b-e7d7-4c22-9cb3-ffbbbc745cb5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Model_all</vt:lpstr>
      <vt:lpstr>Model_BE</vt:lpstr>
      <vt:lpstr>Model_FE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Ewelina Sobczak</dc:creator>
  <cp:keywords/>
  <dc:description/>
  <cp:lastModifiedBy>Marek Mroz</cp:lastModifiedBy>
  <cp:revision/>
  <dcterms:created xsi:type="dcterms:W3CDTF">2023-02-01T09:45:06Z</dcterms:created>
  <dcterms:modified xsi:type="dcterms:W3CDTF">2025-11-28T09:52:10Z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0x010100155055198394104FAA555E71B2560E7D</vt:lpwstr>
  </property>
  <property fmtid="{D5CDD505-2E9C-101B-9397-08002B2CF9AE}" pid="3" name="MediaServiceImageTags">
    <vt:lpwstr/>
  </property>
  <property fmtid="{D5CDD505-2E9C-101B-9397-08002B2CF9AE}" pid="4" name="MSIP_Label_5a612a5d-858c-47c0-96d3-92955940fe19_Enabled">
    <vt:lpwstr>true</vt:lpwstr>
  </property>
  <property fmtid="{D5CDD505-2E9C-101B-9397-08002B2CF9AE}" pid="5" name="MSIP_Label_5a612a5d-858c-47c0-96d3-92955940fe19_SetDate">
    <vt:lpwstr>2025-08-14T07:28:56Z</vt:lpwstr>
  </property>
  <property fmtid="{D5CDD505-2E9C-101B-9397-08002B2CF9AE}" pid="6" name="MSIP_Label_5a612a5d-858c-47c0-96d3-92955940fe19_Method">
    <vt:lpwstr>Privileged</vt:lpwstr>
  </property>
  <property fmtid="{D5CDD505-2E9C-101B-9397-08002B2CF9AE}" pid="7" name="MSIP_Label_5a612a5d-858c-47c0-96d3-92955940fe19_Name">
    <vt:lpwstr>Public (without marking)</vt:lpwstr>
  </property>
  <property fmtid="{D5CDD505-2E9C-101B-9397-08002B2CF9AE}" pid="8" name="MSIP_Label_5a612a5d-858c-47c0-96d3-92955940fe19_SiteId">
    <vt:lpwstr>e21ebe2c-3b5b-4d4c-8d0e-c1ca0e8ea14b</vt:lpwstr>
  </property>
  <property fmtid="{D5CDD505-2E9C-101B-9397-08002B2CF9AE}" pid="9" name="MSIP_Label_5a612a5d-858c-47c0-96d3-92955940fe19_ActionId">
    <vt:lpwstr>068f6936-4449-4d9a-8bae-3af3d97c38aa</vt:lpwstr>
  </property>
  <property fmtid="{D5CDD505-2E9C-101B-9397-08002B2CF9AE}" pid="10" name="MSIP_Label_5a612a5d-858c-47c0-96d3-92955940fe19_ContentBits">
    <vt:lpwstr>0</vt:lpwstr>
  </property>
  <property fmtid="{D5CDD505-2E9C-101B-9397-08002B2CF9AE}" pid="11" name="MSIP_Label_5a612a5d-858c-47c0-96d3-92955940fe19_Tag">
    <vt:lpwstr>50, 0, 1, 1</vt:lpwstr>
  </property>
</Properties>
</file>