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rozo/Desktop/Scrum Master Tool/excelcharts/"/>
    </mc:Choice>
  </mc:AlternateContent>
  <xr:revisionPtr revIDLastSave="0" documentId="13_ncr:1_{77DFCFBF-4A23-404C-8CA9-48E4BBF47E9F}" xr6:coauthVersionLast="47" xr6:coauthVersionMax="47" xr10:uidLastSave="{00000000-0000-0000-0000-000000000000}"/>
  <bookViews>
    <workbookView xWindow="20" yWindow="620" windowWidth="51140" windowHeight="28180" xr2:uid="{00000000-000D-0000-FFFF-FFFF00000000}"/>
  </bookViews>
  <sheets>
    <sheet name="Budget Cost Control" sheetId="34" r:id="rId1"/>
    <sheet name="Budget Forcasting" sheetId="3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9" roundtripDataSignature="AMtx7mgRHYZyw+2MyrzgPfcoR5XKRBKzKg=="/>
    </ext>
  </extLst>
</workbook>
</file>

<file path=xl/calcChain.xml><?xml version="1.0" encoding="utf-8"?>
<calcChain xmlns="http://schemas.openxmlformats.org/spreadsheetml/2006/main">
  <c r="G5" i="33" l="1"/>
  <c r="E27" i="33"/>
  <c r="D27" i="33"/>
  <c r="C27" i="33"/>
  <c r="C24" i="33"/>
  <c r="C25" i="33"/>
  <c r="O30" i="33"/>
  <c r="F17" i="34"/>
  <c r="C19" i="33" l="1"/>
  <c r="C17" i="33"/>
  <c r="N58" i="34"/>
  <c r="M58" i="34"/>
  <c r="L58" i="34"/>
  <c r="K58" i="34"/>
  <c r="J58" i="34"/>
  <c r="I58" i="34"/>
  <c r="H58" i="34"/>
  <c r="G58" i="34"/>
  <c r="F58" i="34"/>
  <c r="E58" i="34"/>
  <c r="D58" i="34"/>
  <c r="C58" i="34"/>
  <c r="N46" i="34"/>
  <c r="M46" i="34"/>
  <c r="L46" i="34"/>
  <c r="K46" i="34"/>
  <c r="J46" i="34"/>
  <c r="I46" i="34"/>
  <c r="H46" i="34"/>
  <c r="G46" i="34"/>
  <c r="F46" i="34"/>
  <c r="E46" i="34"/>
  <c r="D46" i="34"/>
  <c r="C46" i="34"/>
  <c r="N24" i="34"/>
  <c r="N25" i="34" s="1"/>
  <c r="M24" i="34"/>
  <c r="M25" i="34" s="1"/>
  <c r="L24" i="34"/>
  <c r="L25" i="34" s="1"/>
  <c r="K24" i="34"/>
  <c r="K25" i="34" s="1"/>
  <c r="J24" i="34"/>
  <c r="J25" i="34" s="1"/>
  <c r="I24" i="34"/>
  <c r="I25" i="34" s="1"/>
  <c r="H24" i="34"/>
  <c r="H25" i="34" s="1"/>
  <c r="G24" i="34"/>
  <c r="G25" i="34" s="1"/>
  <c r="F24" i="34"/>
  <c r="F25" i="34" s="1"/>
  <c r="E24" i="34"/>
  <c r="E25" i="34" s="1"/>
  <c r="D24" i="34"/>
  <c r="D25" i="34" s="1"/>
  <c r="C24" i="34"/>
  <c r="C25" i="34" s="1"/>
  <c r="P22" i="34"/>
  <c r="O22" i="34"/>
  <c r="N17" i="34"/>
  <c r="M17" i="34"/>
  <c r="L17" i="34"/>
  <c r="K17" i="34"/>
  <c r="J17" i="34"/>
  <c r="I17" i="34"/>
  <c r="H17" i="34"/>
  <c r="G17" i="34"/>
  <c r="E17" i="34"/>
  <c r="D17" i="34"/>
  <c r="C17" i="34"/>
  <c r="O13" i="34"/>
  <c r="O12" i="34"/>
  <c r="O11" i="34"/>
  <c r="O10" i="34"/>
  <c r="O9" i="34"/>
  <c r="O8" i="34"/>
  <c r="N6" i="34"/>
  <c r="M6" i="34"/>
  <c r="L6" i="34"/>
  <c r="K6" i="34"/>
  <c r="J6" i="34"/>
  <c r="I6" i="34"/>
  <c r="H6" i="34"/>
  <c r="G6" i="34"/>
  <c r="F6" i="34"/>
  <c r="E6" i="34"/>
  <c r="D6" i="34"/>
  <c r="C6" i="34"/>
  <c r="P5" i="34"/>
  <c r="O5" i="34"/>
  <c r="P4" i="34"/>
  <c r="O4" i="34"/>
  <c r="N25" i="33"/>
  <c r="M25" i="33"/>
  <c r="L25" i="33"/>
  <c r="K25" i="33"/>
  <c r="J25" i="33"/>
  <c r="I25" i="33"/>
  <c r="H25" i="33"/>
  <c r="G25" i="33"/>
  <c r="F25" i="33"/>
  <c r="N17" i="33"/>
  <c r="M17" i="33"/>
  <c r="L17" i="33"/>
  <c r="K17" i="33"/>
  <c r="J17" i="33"/>
  <c r="I17" i="33"/>
  <c r="H17" i="33"/>
  <c r="G17" i="33"/>
  <c r="F17" i="33"/>
  <c r="E17" i="33"/>
  <c r="D17" i="33"/>
  <c r="O16" i="33"/>
  <c r="O15" i="33"/>
  <c r="O14" i="33"/>
  <c r="O13" i="33"/>
  <c r="O12" i="33"/>
  <c r="O11" i="33"/>
  <c r="O10" i="33"/>
  <c r="O9" i="33"/>
  <c r="O8" i="33"/>
  <c r="N6" i="33"/>
  <c r="M6" i="33"/>
  <c r="L6" i="33"/>
  <c r="K6" i="33"/>
  <c r="J6" i="33"/>
  <c r="I6" i="33"/>
  <c r="H6" i="33"/>
  <c r="G6" i="33"/>
  <c r="F6" i="33"/>
  <c r="E6" i="33"/>
  <c r="D6" i="33"/>
  <c r="C6" i="33"/>
  <c r="C21" i="33" s="1"/>
  <c r="P5" i="33"/>
  <c r="O5" i="33"/>
  <c r="P4" i="33"/>
  <c r="O4" i="33"/>
  <c r="O17" i="33" l="1"/>
  <c r="O17" i="34"/>
  <c r="C21" i="34"/>
  <c r="C19" i="34"/>
  <c r="P6" i="34"/>
  <c r="O6" i="34"/>
  <c r="D21" i="34"/>
  <c r="D23" i="34" s="1"/>
  <c r="D19" i="34"/>
  <c r="E21" i="34"/>
  <c r="E23" i="34" s="1"/>
  <c r="E19" i="34"/>
  <c r="F21" i="34"/>
  <c r="F23" i="34" s="1"/>
  <c r="F19" i="34"/>
  <c r="G21" i="34"/>
  <c r="G23" i="34" s="1"/>
  <c r="G19" i="34"/>
  <c r="H21" i="34"/>
  <c r="H23" i="34" s="1"/>
  <c r="H19" i="34"/>
  <c r="I21" i="34"/>
  <c r="I23" i="34" s="1"/>
  <c r="I19" i="34"/>
  <c r="J21" i="34"/>
  <c r="J23" i="34" s="1"/>
  <c r="J19" i="34"/>
  <c r="K21" i="34"/>
  <c r="K23" i="34" s="1"/>
  <c r="K19" i="34"/>
  <c r="L21" i="34"/>
  <c r="L23" i="34" s="1"/>
  <c r="L19" i="34"/>
  <c r="M21" i="34"/>
  <c r="M23" i="34" s="1"/>
  <c r="M19" i="34"/>
  <c r="N21" i="34"/>
  <c r="N23" i="34" s="1"/>
  <c r="N19" i="34"/>
  <c r="O33" i="34"/>
  <c r="O31" i="34"/>
  <c r="P6" i="33"/>
  <c r="O6" i="33"/>
  <c r="D21" i="33"/>
  <c r="D23" i="33" s="1"/>
  <c r="D19" i="33"/>
  <c r="E21" i="33"/>
  <c r="E23" i="33" s="1"/>
  <c r="E19" i="33"/>
  <c r="F21" i="33"/>
  <c r="F19" i="33"/>
  <c r="G21" i="33"/>
  <c r="G23" i="33" s="1"/>
  <c r="G19" i="33"/>
  <c r="H21" i="33"/>
  <c r="H23" i="33" s="1"/>
  <c r="H19" i="33"/>
  <c r="I21" i="33"/>
  <c r="I19" i="33"/>
  <c r="J21" i="33"/>
  <c r="J19" i="33"/>
  <c r="K21" i="33"/>
  <c r="K19" i="33"/>
  <c r="L21" i="33"/>
  <c r="L19" i="33"/>
  <c r="M21" i="33"/>
  <c r="M19" i="33"/>
  <c r="N21" i="33"/>
  <c r="N19" i="33"/>
  <c r="O21" i="33" l="1"/>
  <c r="O22" i="33"/>
  <c r="P22" i="33"/>
  <c r="F23" i="33"/>
  <c r="O36" i="33"/>
  <c r="C23" i="33"/>
  <c r="O23" i="33" s="1"/>
  <c r="P19" i="34"/>
  <c r="O19" i="34"/>
  <c r="O32" i="34"/>
  <c r="C27" i="34"/>
  <c r="C23" i="34"/>
  <c r="P21" i="34"/>
  <c r="O21" i="34"/>
  <c r="P19" i="33"/>
  <c r="O19" i="33"/>
  <c r="P21" i="33"/>
  <c r="O31" i="33"/>
  <c r="O32" i="33" s="1"/>
  <c r="D24" i="33" l="1"/>
  <c r="O35" i="33"/>
  <c r="O34" i="33"/>
  <c r="C28" i="33"/>
  <c r="C26" i="33"/>
  <c r="P23" i="34"/>
  <c r="O23" i="34"/>
  <c r="C28" i="34"/>
  <c r="D27" i="34"/>
  <c r="C26" i="34"/>
  <c r="P23" i="33"/>
  <c r="E25" i="33" l="1"/>
  <c r="D25" i="33"/>
  <c r="D28" i="33"/>
  <c r="D28" i="34"/>
  <c r="E27" i="34"/>
  <c r="D26" i="34"/>
  <c r="Q23" i="34"/>
  <c r="Q22" i="34"/>
  <c r="D26" i="33"/>
  <c r="Q23" i="33"/>
  <c r="Q22" i="33"/>
  <c r="F27" i="33" l="1"/>
  <c r="G27" i="33" s="1"/>
  <c r="H27" i="33" s="1"/>
  <c r="E28" i="33"/>
  <c r="E28" i="34"/>
  <c r="F27" i="34"/>
  <c r="E26" i="34"/>
  <c r="E26" i="33"/>
  <c r="F28" i="34" l="1"/>
  <c r="G27" i="34"/>
  <c r="F26" i="34"/>
  <c r="F26" i="33"/>
  <c r="G28" i="34" l="1"/>
  <c r="H27" i="34"/>
  <c r="G26" i="34"/>
  <c r="G26" i="33"/>
  <c r="H28" i="34" l="1"/>
  <c r="I27" i="34"/>
  <c r="H26" i="34"/>
  <c r="H26" i="33"/>
  <c r="I28" i="34" l="1"/>
  <c r="J27" i="34"/>
  <c r="I26" i="34"/>
  <c r="I26" i="33"/>
  <c r="J28" i="34" l="1"/>
  <c r="K27" i="34"/>
  <c r="J26" i="34"/>
  <c r="J26" i="33"/>
  <c r="K28" i="34" l="1"/>
  <c r="L27" i="34"/>
  <c r="K26" i="34"/>
  <c r="K26" i="33"/>
  <c r="L28" i="34" l="1"/>
  <c r="M27" i="34"/>
  <c r="L26" i="34"/>
  <c r="L26" i="33"/>
  <c r="M28" i="34" l="1"/>
  <c r="N27" i="34"/>
  <c r="M26" i="34"/>
  <c r="M26" i="33"/>
  <c r="N28" i="34" l="1"/>
  <c r="N26" i="34"/>
  <c r="O27" i="34"/>
  <c r="N26" i="33"/>
</calcChain>
</file>

<file path=xl/sharedStrings.xml><?xml version="1.0" encoding="utf-8"?>
<sst xmlns="http://schemas.openxmlformats.org/spreadsheetml/2006/main" count="112" uniqueCount="44">
  <si>
    <t>Project Budget - Cost Controlling &amp; Forecasting</t>
  </si>
  <si>
    <t>Estimates</t>
  </si>
  <si>
    <t>Total</t>
  </si>
  <si>
    <t>Avg</t>
  </si>
  <si>
    <t>Working days</t>
  </si>
  <si>
    <t>Forecast: Vacation days</t>
  </si>
  <si>
    <t>Forecast: Working hours (h/day)</t>
  </si>
  <si>
    <t>Jan</t>
  </si>
  <si>
    <t>Feb</t>
  </si>
  <si>
    <t>Mar</t>
  </si>
  <si>
    <t>Apr</t>
  </si>
  <si>
    <t>May</t>
  </si>
  <si>
    <t>Nov</t>
  </si>
  <si>
    <t>Dec</t>
  </si>
  <si>
    <t>Hourly rate</t>
  </si>
  <si>
    <t>Sum FTE</t>
  </si>
  <si>
    <t>Forecast: Total hours per month</t>
  </si>
  <si>
    <t>Forecast: Costs</t>
  </si>
  <si>
    <t>Invoiced costs</t>
  </si>
  <si>
    <t>Deviation</t>
  </si>
  <si>
    <t>Cumulated Invoiced Costs</t>
  </si>
  <si>
    <t>Cumulated Invoiced Costs %</t>
  </si>
  <si>
    <t>Forecast: Cumulated costs %</t>
  </si>
  <si>
    <t>Forecast: Cumulated costs</t>
  </si>
  <si>
    <t>Approved budget</t>
  </si>
  <si>
    <t>Remaining budget</t>
  </si>
  <si>
    <t>Remaining Forecast</t>
  </si>
  <si>
    <t>Spent budget</t>
  </si>
  <si>
    <t>Spent Hours</t>
  </si>
  <si>
    <t>Sum(h)</t>
  </si>
  <si>
    <t>Difference</t>
  </si>
  <si>
    <t>Approved (Orginal estimate) budget</t>
  </si>
  <si>
    <t>Forcast: Budget</t>
  </si>
  <si>
    <t>Remaining orignal budget</t>
  </si>
  <si>
    <t>Dev Backend</t>
  </si>
  <si>
    <t>Dev Frontend</t>
  </si>
  <si>
    <t>QA</t>
  </si>
  <si>
    <t>PM</t>
  </si>
  <si>
    <t>Luke Frost</t>
  </si>
  <si>
    <t>Ryan Blaze</t>
  </si>
  <si>
    <t>Adam Stone</t>
  </si>
  <si>
    <t>Eric Storm</t>
  </si>
  <si>
    <t>Mark Rivers</t>
  </si>
  <si>
    <t>Tom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</si>
</sst>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164" formatCode="_-* #,##0.00\ [$zł-415]_-;\-* #,##0.00\ [$zł-415]_-;_-* &quot;-&quot;??\ [$zł-415]_-;_-@_-"/>
    <numFmt numFmtId="165" formatCode="_-&quot;€&quot;\ * #,##0.00_-;\-&quot;€&quot;\ * #,##0.00_-;_-&quot;€&quot;\ * &quot;-&quot;??_-;_-@_-"/>
    <numFmt numFmtId="166" formatCode="_-[$€-C07]\ * #,##0.00_-;\-[$€-C07]\ * #,##0.00_-;_-[$€-C07]\ * &quot;-&quot;??_-;_-@_-"/>
    <numFmt numFmtId="167" formatCode="_([$€-2]\ * #,##0.00_);_([$€-2]\ * \(#,##0.00\);_([$€-2]\ * &quot;-&quot;??_);_(@_)"/>
    <numFmt numFmtId="168" formatCode="_-[$€-2]\ * #,##0.00_-;\-[$€-2]\ * #,##0.00_-;_-[$€-2]\ * &quot;-&quot;??_-;_-@_-"/>
    <numFmt numFmtId="169" formatCode="_-* #,##0.00\ &quot;€&quot;_-;\-* #,##0.00\ &quot;€&quot;_-;_-* &quot;-&quot;??\ &quot;€&quot;_-;_-@_-"/>
    <numFmt numFmtId="170" formatCode="#,##0.00\ [$zł-415];[Red]\-#,##0.00\ [$zł-415]"/>
  </numFmts>
  <fonts count="1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5" tint="0.249977111117893"/>
      <name val="Arial"/>
      <family val="2"/>
      <scheme val="minor"/>
    </font>
    <font>
      <b/>
      <sz val="10"/>
      <color theme="5" tint="0.249977111117893"/>
      <name val="Arial"/>
      <family val="2"/>
      <scheme val="minor"/>
    </font>
    <font>
      <b/>
      <sz val="11"/>
      <color theme="5" tint="0.249977111117893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165" fontId="0" fillId="0" borderId="0" xfId="0" applyNumberFormat="1"/>
    <xf numFmtId="0" fontId="0" fillId="0" borderId="1" xfId="0" applyBorder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right"/>
    </xf>
    <xf numFmtId="0" fontId="6" fillId="0" borderId="0" xfId="0" applyFont="1"/>
    <xf numFmtId="164" fontId="9" fillId="0" borderId="0" xfId="2" applyNumberFormat="1" applyFont="1" applyFill="1" applyBorder="1" applyAlignment="1">
      <alignment horizontal="center"/>
    </xf>
    <xf numFmtId="164" fontId="9" fillId="0" borderId="0" xfId="2" applyNumberFormat="1" applyFont="1" applyBorder="1" applyAlignment="1">
      <alignment horizontal="center"/>
    </xf>
    <xf numFmtId="164" fontId="8" fillId="0" borderId="0" xfId="2" applyNumberFormat="1" applyFont="1" applyFill="1" applyBorder="1" applyAlignment="1">
      <alignment horizontal="center"/>
    </xf>
    <xf numFmtId="0" fontId="0" fillId="2" borderId="5" xfId="0" applyFill="1" applyBorder="1"/>
    <xf numFmtId="17" fontId="4" fillId="2" borderId="5" xfId="0" applyNumberFormat="1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2" borderId="11" xfId="0" applyFill="1" applyBorder="1"/>
    <xf numFmtId="0" fontId="4" fillId="2" borderId="16" xfId="0" applyFont="1" applyFill="1" applyBorder="1" applyAlignment="1">
      <alignment horizontal="right"/>
    </xf>
    <xf numFmtId="164" fontId="9" fillId="0" borderId="13" xfId="2" applyNumberFormat="1" applyFont="1" applyBorder="1" applyAlignment="1">
      <alignment horizontal="center"/>
    </xf>
    <xf numFmtId="164" fontId="9" fillId="0" borderId="15" xfId="2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10" fontId="6" fillId="0" borderId="3" xfId="0" applyNumberFormat="1" applyFont="1" applyBorder="1"/>
    <xf numFmtId="164" fontId="8" fillId="0" borderId="3" xfId="2" applyNumberFormat="1" applyFont="1" applyFill="1" applyBorder="1" applyAlignment="1">
      <alignment horizontal="center"/>
    </xf>
    <xf numFmtId="0" fontId="10" fillId="0" borderId="0" xfId="0" applyFont="1"/>
    <xf numFmtId="9" fontId="10" fillId="0" borderId="0" xfId="1" applyFont="1" applyBorder="1"/>
    <xf numFmtId="166" fontId="4" fillId="0" borderId="0" xfId="2" applyNumberFormat="1" applyFont="1" applyBorder="1"/>
    <xf numFmtId="0" fontId="9" fillId="0" borderId="0" xfId="0" applyFont="1" applyAlignment="1">
      <alignment horizontal="right"/>
    </xf>
    <xf numFmtId="0" fontId="4" fillId="0" borderId="14" xfId="0" applyFont="1" applyBorder="1"/>
    <xf numFmtId="0" fontId="0" fillId="0" borderId="8" xfId="0" applyBorder="1"/>
    <xf numFmtId="0" fontId="10" fillId="0" borderId="3" xfId="0" applyFont="1" applyBorder="1"/>
    <xf numFmtId="44" fontId="10" fillId="0" borderId="2" xfId="2" applyFont="1" applyBorder="1"/>
    <xf numFmtId="164" fontId="8" fillId="0" borderId="3" xfId="2" applyNumberFormat="1" applyFont="1" applyBorder="1" applyAlignment="1">
      <alignment horizontal="center"/>
    </xf>
    <xf numFmtId="0" fontId="10" fillId="0" borderId="4" xfId="0" applyFont="1" applyBorder="1"/>
    <xf numFmtId="166" fontId="0" fillId="0" borderId="8" xfId="2" applyNumberFormat="1" applyFont="1" applyFill="1" applyBorder="1" applyAlignment="1">
      <alignment horizontal="right"/>
    </xf>
    <xf numFmtId="166" fontId="10" fillId="0" borderId="10" xfId="2" applyNumberFormat="1" applyFont="1" applyBorder="1"/>
    <xf numFmtId="164" fontId="8" fillId="0" borderId="10" xfId="2" applyNumberFormat="1" applyFont="1" applyFill="1" applyBorder="1" applyAlignment="1">
      <alignment horizontal="center"/>
    </xf>
    <xf numFmtId="166" fontId="6" fillId="0" borderId="10" xfId="2" applyNumberFormat="1" applyFont="1" applyBorder="1"/>
    <xf numFmtId="165" fontId="10" fillId="0" borderId="14" xfId="0" applyNumberFormat="1" applyFont="1" applyBorder="1"/>
    <xf numFmtId="0" fontId="1" fillId="0" borderId="0" xfId="0" applyFont="1"/>
    <xf numFmtId="10" fontId="1" fillId="0" borderId="0" xfId="0" applyNumberFormat="1" applyFont="1"/>
    <xf numFmtId="0" fontId="1" fillId="0" borderId="0" xfId="0" applyFont="1" applyAlignment="1">
      <alignment horizontal="center"/>
    </xf>
    <xf numFmtId="0" fontId="11" fillId="4" borderId="8" xfId="0" applyFont="1" applyFill="1" applyBorder="1"/>
    <xf numFmtId="0" fontId="11" fillId="4" borderId="9" xfId="0" applyFont="1" applyFill="1" applyBorder="1"/>
    <xf numFmtId="0" fontId="12" fillId="4" borderId="9" xfId="0" applyFont="1" applyFill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12" xfId="0" applyFill="1" applyBorder="1"/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0" fontId="0" fillId="5" borderId="3" xfId="0" applyFill="1" applyBorder="1"/>
    <xf numFmtId="0" fontId="11" fillId="4" borderId="2" xfId="0" applyFont="1" applyFill="1" applyBorder="1" applyAlignment="1">
      <alignment horizontal="right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0" fillId="0" borderId="2" xfId="0" applyFont="1" applyBorder="1"/>
    <xf numFmtId="44" fontId="10" fillId="0" borderId="3" xfId="2" applyFont="1" applyBorder="1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right"/>
    </xf>
    <xf numFmtId="0" fontId="0" fillId="0" borderId="8" xfId="0" applyBorder="1" applyAlignment="1">
      <alignment horizontal="right"/>
    </xf>
    <xf numFmtId="0" fontId="11" fillId="4" borderId="16" xfId="0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164" fontId="13" fillId="0" borderId="0" xfId="2" applyNumberFormat="1" applyFont="1" applyFill="1" applyBorder="1" applyAlignment="1">
      <alignment horizontal="center"/>
    </xf>
    <xf numFmtId="164" fontId="14" fillId="0" borderId="10" xfId="2" applyNumberFormat="1" applyFont="1" applyFill="1" applyBorder="1" applyAlignment="1">
      <alignment horizontal="center"/>
    </xf>
    <xf numFmtId="166" fontId="15" fillId="0" borderId="10" xfId="2" applyNumberFormat="1" applyFont="1" applyBorder="1"/>
    <xf numFmtId="9" fontId="1" fillId="0" borderId="0" xfId="1" applyFont="1" applyBorder="1"/>
    <xf numFmtId="0" fontId="1" fillId="0" borderId="0" xfId="0" applyFont="1" applyAlignment="1">
      <alignment horizontal="right"/>
    </xf>
    <xf numFmtId="164" fontId="1" fillId="0" borderId="0" xfId="2" applyNumberFormat="1" applyFont="1" applyFill="1" applyBorder="1" applyAlignment="1">
      <alignment horizontal="center"/>
    </xf>
    <xf numFmtId="164" fontId="13" fillId="0" borderId="6" xfId="2" applyNumberFormat="1" applyFont="1" applyFill="1" applyBorder="1" applyAlignment="1">
      <alignment horizontal="center"/>
    </xf>
    <xf numFmtId="0" fontId="13" fillId="0" borderId="6" xfId="0" applyFont="1" applyBorder="1" applyAlignment="1">
      <alignment horizontal="right"/>
    </xf>
    <xf numFmtId="170" fontId="1" fillId="0" borderId="0" xfId="2" applyNumberFormat="1" applyFont="1" applyFill="1" applyBorder="1" applyAlignment="1">
      <alignment horizontal="center"/>
    </xf>
    <xf numFmtId="170" fontId="16" fillId="0" borderId="10" xfId="2" applyNumberFormat="1" applyFont="1" applyFill="1" applyBorder="1" applyAlignment="1">
      <alignment horizontal="center"/>
    </xf>
    <xf numFmtId="170" fontId="1" fillId="0" borderId="0" xfId="0" applyNumberFormat="1" applyFont="1" applyAlignment="1">
      <alignment horizontal="right"/>
    </xf>
    <xf numFmtId="170" fontId="1" fillId="0" borderId="6" xfId="0" applyNumberFormat="1" applyFont="1" applyBorder="1" applyAlignment="1">
      <alignment horizontal="right"/>
    </xf>
    <xf numFmtId="170" fontId="1" fillId="0" borderId="6" xfId="2" applyNumberFormat="1" applyFont="1" applyFill="1" applyBorder="1" applyAlignment="1">
      <alignment horizontal="center"/>
    </xf>
    <xf numFmtId="164" fontId="8" fillId="0" borderId="4" xfId="2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right"/>
    </xf>
    <xf numFmtId="164" fontId="1" fillId="0" borderId="9" xfId="2" applyNumberFormat="1" applyFont="1" applyFill="1" applyBorder="1" applyAlignment="1">
      <alignment horizontal="center"/>
    </xf>
    <xf numFmtId="164" fontId="1" fillId="0" borderId="16" xfId="2" applyNumberFormat="1" applyFont="1" applyFill="1" applyBorder="1" applyAlignment="1">
      <alignment horizontal="center"/>
    </xf>
    <xf numFmtId="9" fontId="1" fillId="0" borderId="13" xfId="1" applyFont="1" applyBorder="1"/>
    <xf numFmtId="164" fontId="9" fillId="0" borderId="13" xfId="2" applyNumberFormat="1" applyFont="1" applyFill="1" applyBorder="1" applyAlignment="1">
      <alignment horizontal="center"/>
    </xf>
    <xf numFmtId="170" fontId="1" fillId="0" borderId="15" xfId="2" applyNumberFormat="1" applyFont="1" applyFill="1" applyBorder="1" applyAlignment="1">
      <alignment horizontal="center"/>
    </xf>
    <xf numFmtId="166" fontId="15" fillId="0" borderId="0" xfId="2" applyNumberFormat="1" applyFont="1" applyBorder="1"/>
    <xf numFmtId="166" fontId="6" fillId="0" borderId="0" xfId="2" applyNumberFormat="1" applyFont="1" applyBorder="1"/>
    <xf numFmtId="170" fontId="16" fillId="0" borderId="6" xfId="2" applyNumberFormat="1" applyFont="1" applyFill="1" applyBorder="1" applyAlignment="1">
      <alignment horizontal="center"/>
    </xf>
    <xf numFmtId="170" fontId="16" fillId="0" borderId="0" xfId="2" applyNumberFormat="1" applyFont="1" applyFill="1" applyBorder="1" applyAlignment="1">
      <alignment horizontal="right"/>
    </xf>
    <xf numFmtId="0" fontId="1" fillId="5" borderId="10" xfId="0" applyFont="1" applyFill="1" applyBorder="1"/>
    <xf numFmtId="164" fontId="8" fillId="6" borderId="0" xfId="2" applyNumberFormat="1" applyFont="1" applyFill="1" applyBorder="1" applyAlignment="1">
      <alignment horizontal="center"/>
    </xf>
    <xf numFmtId="0" fontId="0" fillId="5" borderId="17" xfId="0" applyFill="1" applyBorder="1"/>
    <xf numFmtId="0" fontId="0" fillId="0" borderId="17" xfId="0" applyBorder="1"/>
    <xf numFmtId="0" fontId="4" fillId="2" borderId="18" xfId="0" applyFont="1" applyFill="1" applyBorder="1"/>
    <xf numFmtId="0" fontId="4" fillId="2" borderId="19" xfId="0" applyFont="1" applyFill="1" applyBorder="1"/>
    <xf numFmtId="0" fontId="0" fillId="2" borderId="19" xfId="0" applyFill="1" applyBorder="1"/>
    <xf numFmtId="0" fontId="4" fillId="2" borderId="20" xfId="0" applyFont="1" applyFill="1" applyBorder="1" applyAlignment="1">
      <alignment horizontal="right"/>
    </xf>
    <xf numFmtId="0" fontId="1" fillId="5" borderId="1" xfId="0" applyFont="1" applyFill="1" applyBorder="1"/>
    <xf numFmtId="0" fontId="7" fillId="0" borderId="0" xfId="0" applyFont="1"/>
    <xf numFmtId="44" fontId="4" fillId="0" borderId="21" xfId="2" applyFont="1" applyBorder="1"/>
    <xf numFmtId="0" fontId="0" fillId="0" borderId="21" xfId="0" applyBorder="1"/>
    <xf numFmtId="0" fontId="0" fillId="5" borderId="1" xfId="0" applyFill="1" applyBorder="1"/>
    <xf numFmtId="0" fontId="0" fillId="5" borderId="22" xfId="0" applyFill="1" applyBorder="1"/>
    <xf numFmtId="0" fontId="7" fillId="0" borderId="17" xfId="0" applyFont="1" applyBorder="1"/>
    <xf numFmtId="0" fontId="0" fillId="0" borderId="23" xfId="0" applyBorder="1"/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</cellXfs>
  <cellStyles count="3">
    <cellStyle name="Currency 2" xfId="2" xr:uid="{882E560F-E2BB-0A4F-BDC3-F45D77FEE729}"/>
    <cellStyle name="Normal" xfId="0" builtinId="0"/>
    <cellStyle name="Percent" xfId="1" builtinId="5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M CS PM engagement maping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F4FC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23" Type="http://schemas.openxmlformats.org/officeDocument/2006/relationships/calcChain" Target="calcChain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6153-2126-4CB1-8611-DB1728290DFF}">
  <dimension ref="A1:W58"/>
  <sheetViews>
    <sheetView tabSelected="1" zoomScale="160" zoomScaleNormal="160" workbookViewId="0">
      <selection activeCell="O21" sqref="O21"/>
    </sheetView>
  </sheetViews>
  <sheetFormatPr baseColWidth="10" defaultColWidth="8.83203125" defaultRowHeight="12.75" customHeight="1" x14ac:dyDescent="0.15"/>
  <cols>
    <col min="1" max="1" width="27.1640625" customWidth="1"/>
    <col min="2" max="2" width="26.83203125" customWidth="1"/>
    <col min="3" max="14" width="14.6640625" customWidth="1"/>
    <col min="15" max="15" width="18.6640625" customWidth="1"/>
    <col min="16" max="16" width="15.33203125" customWidth="1"/>
    <col min="17" max="17" width="18.5" customWidth="1"/>
    <col min="18" max="18" width="14.5" customWidth="1"/>
    <col min="19" max="19" width="15" bestFit="1" customWidth="1"/>
    <col min="20" max="20" width="12.6640625" bestFit="1" customWidth="1"/>
    <col min="21" max="21" width="27" customWidth="1"/>
    <col min="22" max="22" width="24.1640625" customWidth="1"/>
    <col min="23" max="23" width="13.83203125" bestFit="1" customWidth="1"/>
  </cols>
  <sheetData>
    <row r="1" spans="1:18" ht="15" customHeight="1" x14ac:dyDescent="0.1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8" ht="13" x14ac:dyDescent="0.15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R2" s="5"/>
    </row>
    <row r="3" spans="1:18" ht="14" x14ac:dyDescent="0.15">
      <c r="A3" s="46" t="s">
        <v>1</v>
      </c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61" t="s">
        <v>2</v>
      </c>
      <c r="P3" s="69" t="s">
        <v>3</v>
      </c>
    </row>
    <row r="4" spans="1:18" ht="17.25" customHeight="1" x14ac:dyDescent="0.15">
      <c r="A4" s="113" t="s">
        <v>4</v>
      </c>
      <c r="B4" s="114"/>
      <c r="C4" s="49">
        <v>19</v>
      </c>
      <c r="D4" s="49">
        <v>20</v>
      </c>
      <c r="E4" s="49">
        <v>20</v>
      </c>
      <c r="F4" s="49">
        <v>15</v>
      </c>
      <c r="G4" s="49">
        <v>22</v>
      </c>
      <c r="H4" s="49">
        <v>21</v>
      </c>
      <c r="I4" s="49">
        <v>20</v>
      </c>
      <c r="J4" s="49"/>
      <c r="K4" s="49"/>
      <c r="L4" s="49"/>
      <c r="M4" s="49"/>
      <c r="N4" s="49"/>
      <c r="O4" s="66">
        <f>SUM(C4:N4)</f>
        <v>137</v>
      </c>
      <c r="P4" s="62">
        <f>AVERAGE(C4:N4)</f>
        <v>19.571428571428573</v>
      </c>
      <c r="Q4" s="5"/>
      <c r="R4" s="5"/>
    </row>
    <row r="5" spans="1:18" ht="17.25" customHeight="1" x14ac:dyDescent="0.15">
      <c r="A5" s="115" t="s">
        <v>5</v>
      </c>
      <c r="B5" s="116"/>
      <c r="C5" s="51"/>
      <c r="D5" s="51">
        <v>2</v>
      </c>
      <c r="E5" s="51">
        <v>1</v>
      </c>
      <c r="F5" s="51"/>
      <c r="G5" s="51"/>
      <c r="H5" s="51"/>
      <c r="I5" s="51"/>
      <c r="J5" s="51"/>
      <c r="K5" s="51"/>
      <c r="L5" s="51"/>
      <c r="M5" s="51"/>
      <c r="N5" s="51"/>
      <c r="O5" s="52">
        <f>SUM(C5:N5)</f>
        <v>3</v>
      </c>
      <c r="P5" s="63">
        <f t="shared" ref="P5:P6" si="0">AVERAGE(C5:N5)</f>
        <v>1.5</v>
      </c>
    </row>
    <row r="6" spans="1:18" ht="17.25" customHeight="1" x14ac:dyDescent="0.15">
      <c r="A6" s="50" t="s">
        <v>6</v>
      </c>
      <c r="B6" s="51">
        <v>7.5</v>
      </c>
      <c r="C6" s="51">
        <f>(C4-C5)*$B$6</f>
        <v>142.5</v>
      </c>
      <c r="D6" s="51">
        <f t="shared" ref="D6:N6" si="1">(D4-D5)*$B$6</f>
        <v>135</v>
      </c>
      <c r="E6" s="51">
        <f t="shared" si="1"/>
        <v>142.5</v>
      </c>
      <c r="F6" s="51">
        <f t="shared" si="1"/>
        <v>112.5</v>
      </c>
      <c r="G6" s="51">
        <f t="shared" si="1"/>
        <v>165</v>
      </c>
      <c r="H6" s="51">
        <f t="shared" si="1"/>
        <v>157.5</v>
      </c>
      <c r="I6" s="51">
        <f t="shared" si="1"/>
        <v>150</v>
      </c>
      <c r="J6" s="51">
        <f t="shared" si="1"/>
        <v>0</v>
      </c>
      <c r="K6" s="51">
        <f t="shared" si="1"/>
        <v>0</v>
      </c>
      <c r="L6" s="51">
        <f t="shared" si="1"/>
        <v>0</v>
      </c>
      <c r="M6" s="51">
        <f t="shared" si="1"/>
        <v>0</v>
      </c>
      <c r="N6" s="51">
        <f t="shared" si="1"/>
        <v>0</v>
      </c>
      <c r="O6" s="52">
        <f>SUM(C6:N6)</f>
        <v>1005</v>
      </c>
      <c r="P6" s="63">
        <f t="shared" si="0"/>
        <v>83.75</v>
      </c>
    </row>
    <row r="7" spans="1:18" ht="14" x14ac:dyDescent="0.15">
      <c r="A7" s="20"/>
      <c r="B7" s="16"/>
      <c r="C7" s="17" t="s">
        <v>12</v>
      </c>
      <c r="D7" s="17" t="s">
        <v>13</v>
      </c>
      <c r="E7" s="17" t="s">
        <v>7</v>
      </c>
      <c r="F7" s="17" t="s">
        <v>8</v>
      </c>
      <c r="G7" s="17" t="s">
        <v>9</v>
      </c>
      <c r="H7" s="17" t="s">
        <v>10</v>
      </c>
      <c r="I7" s="17" t="s">
        <v>11</v>
      </c>
      <c r="J7" s="17"/>
      <c r="K7" s="17"/>
      <c r="L7" s="17"/>
      <c r="M7" s="17"/>
      <c r="N7" s="17"/>
      <c r="O7" s="33"/>
      <c r="P7" s="64"/>
      <c r="Q7" s="21" t="s">
        <v>14</v>
      </c>
    </row>
    <row r="8" spans="1:18" ht="13" x14ac:dyDescent="0.15">
      <c r="A8" s="95" t="s">
        <v>34</v>
      </c>
      <c r="B8" s="54" t="s">
        <v>38</v>
      </c>
      <c r="C8" s="55">
        <v>1</v>
      </c>
      <c r="D8" s="55">
        <v>1</v>
      </c>
      <c r="E8" s="55">
        <v>1</v>
      </c>
      <c r="F8" s="55">
        <v>1</v>
      </c>
      <c r="G8" s="55"/>
      <c r="H8" s="55"/>
      <c r="I8" s="55"/>
      <c r="J8" s="55"/>
      <c r="K8" s="55"/>
      <c r="L8" s="55"/>
      <c r="M8" s="55"/>
      <c r="N8" s="55"/>
      <c r="O8" s="67">
        <f>SUM(C8:N8)</f>
        <v>4</v>
      </c>
      <c r="P8" s="34"/>
      <c r="Q8" s="22">
        <v>350</v>
      </c>
    </row>
    <row r="9" spans="1:18" ht="14" x14ac:dyDescent="0.15">
      <c r="A9" s="95" t="s">
        <v>34</v>
      </c>
      <c r="B9" s="54" t="s">
        <v>39</v>
      </c>
      <c r="C9" s="56">
        <v>1</v>
      </c>
      <c r="D9" s="56">
        <v>1</v>
      </c>
      <c r="E9" s="56">
        <v>1</v>
      </c>
      <c r="F9" s="56">
        <v>1</v>
      </c>
      <c r="G9" s="56"/>
      <c r="H9" s="56"/>
      <c r="I9" s="56"/>
      <c r="J9" s="56"/>
      <c r="K9" s="56"/>
      <c r="L9" s="56"/>
      <c r="M9" s="56"/>
      <c r="N9" s="56"/>
      <c r="O9" s="67">
        <f t="shared" ref="O9:O13" si="2">SUM(C9:N9)</f>
        <v>4</v>
      </c>
      <c r="P9" s="65"/>
      <c r="Q9" s="22">
        <v>350</v>
      </c>
    </row>
    <row r="10" spans="1:18" ht="13" x14ac:dyDescent="0.15">
      <c r="A10" s="95" t="s">
        <v>35</v>
      </c>
      <c r="B10" s="54" t="s">
        <v>40</v>
      </c>
      <c r="C10" s="55">
        <v>1</v>
      </c>
      <c r="D10" s="55">
        <v>1</v>
      </c>
      <c r="E10" s="55">
        <v>1</v>
      </c>
      <c r="F10" s="55">
        <v>1</v>
      </c>
      <c r="G10" s="55"/>
      <c r="H10" s="55"/>
      <c r="I10" s="55"/>
      <c r="J10" s="55"/>
      <c r="K10" s="55"/>
      <c r="L10" s="55"/>
      <c r="M10" s="54"/>
      <c r="N10" s="54"/>
      <c r="O10" s="67">
        <f t="shared" si="2"/>
        <v>4</v>
      </c>
      <c r="P10" s="65"/>
      <c r="Q10" s="22">
        <v>300</v>
      </c>
    </row>
    <row r="11" spans="1:18" ht="13" x14ac:dyDescent="0.15">
      <c r="A11" s="95" t="s">
        <v>35</v>
      </c>
      <c r="B11" s="54" t="s">
        <v>41</v>
      </c>
      <c r="C11" s="55">
        <v>0.5</v>
      </c>
      <c r="D11" s="55">
        <v>0.5</v>
      </c>
      <c r="E11" s="55">
        <v>0.5</v>
      </c>
      <c r="F11" s="55">
        <v>0.5</v>
      </c>
      <c r="G11" s="55"/>
      <c r="H11" s="55"/>
      <c r="I11" s="55"/>
      <c r="J11" s="55"/>
      <c r="K11" s="55"/>
      <c r="L11" s="55"/>
      <c r="M11" s="54"/>
      <c r="N11" s="54"/>
      <c r="O11" s="67">
        <f t="shared" si="2"/>
        <v>2</v>
      </c>
      <c r="P11" s="65"/>
      <c r="Q11" s="22">
        <v>300</v>
      </c>
    </row>
    <row r="12" spans="1:18" ht="13" x14ac:dyDescent="0.15">
      <c r="A12" s="95" t="s">
        <v>36</v>
      </c>
      <c r="B12" s="54" t="s">
        <v>42</v>
      </c>
      <c r="C12" s="55">
        <v>1</v>
      </c>
      <c r="D12" s="55">
        <v>1</v>
      </c>
      <c r="E12" s="55">
        <v>1</v>
      </c>
      <c r="F12" s="55">
        <v>1</v>
      </c>
      <c r="G12" s="55"/>
      <c r="H12" s="55"/>
      <c r="I12" s="55"/>
      <c r="J12" s="55"/>
      <c r="K12" s="55"/>
      <c r="L12" s="55"/>
      <c r="M12" s="55"/>
      <c r="N12" s="55"/>
      <c r="O12" s="67">
        <f t="shared" si="2"/>
        <v>4</v>
      </c>
      <c r="P12" s="65"/>
      <c r="Q12" s="22">
        <v>200</v>
      </c>
    </row>
    <row r="13" spans="1:18" ht="13" x14ac:dyDescent="0.15">
      <c r="A13" s="95" t="s">
        <v>37</v>
      </c>
      <c r="B13" s="54" t="s">
        <v>43</v>
      </c>
      <c r="C13" s="55">
        <v>0.2</v>
      </c>
      <c r="D13" s="55">
        <v>0.2</v>
      </c>
      <c r="E13" s="55">
        <v>0.2</v>
      </c>
      <c r="F13" s="55">
        <v>0.2</v>
      </c>
      <c r="G13" s="55"/>
      <c r="H13" s="55"/>
      <c r="I13" s="55"/>
      <c r="J13" s="55"/>
      <c r="K13" s="55"/>
      <c r="L13" s="55"/>
      <c r="M13" s="55"/>
      <c r="N13" s="55"/>
      <c r="O13" s="67">
        <f t="shared" si="2"/>
        <v>0.8</v>
      </c>
      <c r="P13" s="65"/>
      <c r="Q13" s="22">
        <v>280</v>
      </c>
    </row>
    <row r="14" spans="1:18" ht="13" x14ac:dyDescent="0.15">
      <c r="A14" s="53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67"/>
      <c r="P14" s="65"/>
      <c r="Q14" s="22"/>
    </row>
    <row r="15" spans="1:18" ht="13" x14ac:dyDescent="0.15">
      <c r="A15" s="53"/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67"/>
      <c r="P15" s="65"/>
      <c r="Q15" s="22"/>
    </row>
    <row r="16" spans="1:18" ht="14" thickBot="1" x14ac:dyDescent="0.2">
      <c r="A16" s="57"/>
      <c r="B16" s="5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7"/>
      <c r="P16" s="34"/>
      <c r="Q16" s="23"/>
    </row>
    <row r="17" spans="1:23" ht="15" thickBot="1" x14ac:dyDescent="0.2">
      <c r="A17" s="19"/>
      <c r="B17" t="s">
        <v>15</v>
      </c>
      <c r="C17" s="1">
        <f t="shared" ref="C17:N17" si="3">SUM(C8:C16)</f>
        <v>4.7</v>
      </c>
      <c r="D17" s="1">
        <f t="shared" si="3"/>
        <v>4.7</v>
      </c>
      <c r="E17" s="1">
        <f t="shared" si="3"/>
        <v>4.7</v>
      </c>
      <c r="F17" s="1">
        <f t="shared" si="3"/>
        <v>4.7</v>
      </c>
      <c r="G17" s="1">
        <f t="shared" si="3"/>
        <v>0</v>
      </c>
      <c r="H17" s="1">
        <f t="shared" si="3"/>
        <v>0</v>
      </c>
      <c r="I17" s="1">
        <f t="shared" si="3"/>
        <v>0</v>
      </c>
      <c r="J17" s="1">
        <f t="shared" si="3"/>
        <v>0</v>
      </c>
      <c r="K17" s="1">
        <f t="shared" si="3"/>
        <v>0</v>
      </c>
      <c r="L17" s="1">
        <f t="shared" si="3"/>
        <v>0</v>
      </c>
      <c r="M17" s="1">
        <f t="shared" si="3"/>
        <v>0</v>
      </c>
      <c r="N17" s="1">
        <f t="shared" si="3"/>
        <v>0</v>
      </c>
      <c r="O17" s="68">
        <f>SUM(C17:N17)</f>
        <v>18.8</v>
      </c>
      <c r="P17" s="64"/>
      <c r="U17" s="3"/>
      <c r="V17" s="3"/>
      <c r="W17" s="3"/>
    </row>
    <row r="18" spans="1:23" ht="10.5" customHeight="1" x14ac:dyDescent="0.15">
      <c r="A18" s="33"/>
      <c r="B18" s="25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38"/>
      <c r="P18" s="35"/>
      <c r="U18" s="3"/>
      <c r="V18" s="3"/>
      <c r="W18" s="3"/>
    </row>
    <row r="19" spans="1:23" ht="14" x14ac:dyDescent="0.15">
      <c r="A19" s="53" t="s">
        <v>16</v>
      </c>
      <c r="B19" s="54"/>
      <c r="C19" s="55">
        <f t="shared" ref="C19:N19" si="4">SUMPRODUCT(C8:C16)*C6</f>
        <v>669.75</v>
      </c>
      <c r="D19" s="55">
        <f t="shared" si="4"/>
        <v>634.5</v>
      </c>
      <c r="E19" s="55">
        <f t="shared" si="4"/>
        <v>669.75</v>
      </c>
      <c r="F19" s="55">
        <f t="shared" si="4"/>
        <v>528.75</v>
      </c>
      <c r="G19" s="55">
        <f t="shared" si="4"/>
        <v>0</v>
      </c>
      <c r="H19" s="55">
        <f t="shared" si="4"/>
        <v>0</v>
      </c>
      <c r="I19" s="55">
        <f t="shared" si="4"/>
        <v>0</v>
      </c>
      <c r="J19" s="55">
        <f t="shared" si="4"/>
        <v>0</v>
      </c>
      <c r="K19" s="55">
        <f t="shared" si="4"/>
        <v>0</v>
      </c>
      <c r="L19" s="55">
        <f t="shared" si="4"/>
        <v>0</v>
      </c>
      <c r="M19" s="55">
        <f t="shared" si="4"/>
        <v>0</v>
      </c>
      <c r="N19" s="55">
        <f t="shared" si="4"/>
        <v>0</v>
      </c>
      <c r="O19" s="53">
        <f>SUM(C19:N19)</f>
        <v>2502.75</v>
      </c>
      <c r="P19" s="60">
        <f>AVERAGE(C19:N19)</f>
        <v>208.5625</v>
      </c>
      <c r="U19" s="3"/>
      <c r="V19" s="3"/>
      <c r="W19" s="3"/>
    </row>
    <row r="20" spans="1:23" ht="14" x14ac:dyDescent="0.15">
      <c r="A20" s="18"/>
      <c r="B20" s="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39"/>
      <c r="P20" s="36"/>
      <c r="U20" s="7"/>
      <c r="V20" s="8"/>
      <c r="W20" s="9"/>
    </row>
    <row r="21" spans="1:23" ht="18" customHeight="1" x14ac:dyDescent="0.15">
      <c r="A21" s="19"/>
      <c r="B21" s="11" t="s">
        <v>17</v>
      </c>
      <c r="C21" s="13">
        <f t="shared" ref="C21:N21" si="5">((C8*$Q8)+(C9*$Q9)+(C10*$Q10)+(C11*$Q11)+(C12*$Q12)+(C13*$Q13)+(C14*$Q14)+(C15*$Q15)+(C16*$Q16))*C6</f>
        <v>200355</v>
      </c>
      <c r="D21" s="13">
        <f t="shared" si="5"/>
        <v>189810</v>
      </c>
      <c r="E21" s="13">
        <f t="shared" si="5"/>
        <v>200355</v>
      </c>
      <c r="F21" s="13">
        <f t="shared" si="5"/>
        <v>158175</v>
      </c>
      <c r="G21" s="13">
        <f t="shared" si="5"/>
        <v>0</v>
      </c>
      <c r="H21" s="13">
        <f t="shared" si="5"/>
        <v>0</v>
      </c>
      <c r="I21" s="13">
        <f t="shared" si="5"/>
        <v>0</v>
      </c>
      <c r="J21" s="13">
        <f t="shared" si="5"/>
        <v>0</v>
      </c>
      <c r="K21" s="13">
        <f t="shared" si="5"/>
        <v>0</v>
      </c>
      <c r="L21" s="13">
        <f t="shared" si="5"/>
        <v>0</v>
      </c>
      <c r="M21" s="13">
        <f t="shared" si="5"/>
        <v>0</v>
      </c>
      <c r="N21" s="13">
        <f t="shared" si="5"/>
        <v>0</v>
      </c>
      <c r="O21" s="40">
        <f>SUM(C21:N21)</f>
        <v>748695</v>
      </c>
      <c r="P21" s="27">
        <f>AVERAGE(C21:N21)</f>
        <v>62391.25</v>
      </c>
      <c r="Q21" s="2"/>
      <c r="T21" s="10"/>
    </row>
    <row r="22" spans="1:23" ht="18" customHeight="1" x14ac:dyDescent="0.15">
      <c r="A22" s="19"/>
      <c r="B22" s="11" t="s">
        <v>18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40">
        <f>SUM(C22:N22)</f>
        <v>0</v>
      </c>
      <c r="P22" s="27" t="e">
        <f>AVERAGE(C22:N22)</f>
        <v>#DIV/0!</v>
      </c>
      <c r="Q22" s="45" t="str">
        <f>IF(O23&gt;0,"above budget","below budget")</f>
        <v>below budget</v>
      </c>
    </row>
    <row r="23" spans="1:23" ht="18" customHeight="1" x14ac:dyDescent="0.15">
      <c r="A23" s="19"/>
      <c r="B23" s="70" t="s">
        <v>19</v>
      </c>
      <c r="C23" s="71">
        <f>C22-C21</f>
        <v>-200355</v>
      </c>
      <c r="D23" s="71">
        <f t="shared" ref="D23:N23" si="6">D22-D21</f>
        <v>-189810</v>
      </c>
      <c r="E23" s="71">
        <f t="shared" si="6"/>
        <v>-200355</v>
      </c>
      <c r="F23" s="71">
        <f t="shared" si="6"/>
        <v>-158175</v>
      </c>
      <c r="G23" s="71">
        <f t="shared" si="6"/>
        <v>0</v>
      </c>
      <c r="H23" s="71">
        <f t="shared" si="6"/>
        <v>0</v>
      </c>
      <c r="I23" s="71">
        <f t="shared" si="6"/>
        <v>0</v>
      </c>
      <c r="J23" s="71">
        <f t="shared" si="6"/>
        <v>0</v>
      </c>
      <c r="K23" s="71">
        <f t="shared" si="6"/>
        <v>0</v>
      </c>
      <c r="L23" s="71">
        <f t="shared" si="6"/>
        <v>0</v>
      </c>
      <c r="M23" s="71">
        <f t="shared" si="6"/>
        <v>0</v>
      </c>
      <c r="N23" s="71">
        <f t="shared" si="6"/>
        <v>0</v>
      </c>
      <c r="O23" s="72">
        <f>SUM(C23:N23)</f>
        <v>-748695</v>
      </c>
      <c r="P23" s="27">
        <f>AVERAGE(C23:N23)</f>
        <v>-62391.25</v>
      </c>
      <c r="Q23" s="44">
        <f>O23/O30</f>
        <v>-1</v>
      </c>
    </row>
    <row r="24" spans="1:23" ht="18" customHeight="1" x14ac:dyDescent="0.15">
      <c r="A24" s="19"/>
      <c r="B24" s="75" t="s">
        <v>20</v>
      </c>
      <c r="C24" s="76">
        <f>C22+0</f>
        <v>0</v>
      </c>
      <c r="D24" s="76">
        <f t="shared" ref="D24:N24" si="7">D22+0</f>
        <v>0</v>
      </c>
      <c r="E24" s="76">
        <f t="shared" si="7"/>
        <v>0</v>
      </c>
      <c r="F24" s="76">
        <f t="shared" si="7"/>
        <v>0</v>
      </c>
      <c r="G24" s="76">
        <f t="shared" si="7"/>
        <v>0</v>
      </c>
      <c r="H24" s="76">
        <f t="shared" si="7"/>
        <v>0</v>
      </c>
      <c r="I24" s="76">
        <f t="shared" si="7"/>
        <v>0</v>
      </c>
      <c r="J24" s="76">
        <f t="shared" si="7"/>
        <v>0</v>
      </c>
      <c r="K24" s="76">
        <f t="shared" si="7"/>
        <v>0</v>
      </c>
      <c r="L24" s="76">
        <f t="shared" si="7"/>
        <v>0</v>
      </c>
      <c r="M24" s="76">
        <f t="shared" si="7"/>
        <v>0</v>
      </c>
      <c r="N24" s="76">
        <f t="shared" si="7"/>
        <v>0</v>
      </c>
      <c r="O24" s="73"/>
      <c r="P24" s="26"/>
      <c r="Q24" s="43"/>
    </row>
    <row r="25" spans="1:23" ht="18" customHeight="1" x14ac:dyDescent="0.15">
      <c r="A25" s="19"/>
      <c r="B25" s="75" t="s">
        <v>21</v>
      </c>
      <c r="C25" s="74">
        <f t="shared" ref="C25:L25" si="8">C24/$O$30</f>
        <v>0</v>
      </c>
      <c r="D25" s="74">
        <f t="shared" si="8"/>
        <v>0</v>
      </c>
      <c r="E25" s="74">
        <f t="shared" si="8"/>
        <v>0</v>
      </c>
      <c r="F25" s="74">
        <f t="shared" si="8"/>
        <v>0</v>
      </c>
      <c r="G25" s="74">
        <f t="shared" si="8"/>
        <v>0</v>
      </c>
      <c r="H25" s="74">
        <f t="shared" si="8"/>
        <v>0</v>
      </c>
      <c r="I25" s="74">
        <f t="shared" si="8"/>
        <v>0</v>
      </c>
      <c r="J25" s="74">
        <f t="shared" si="8"/>
        <v>0</v>
      </c>
      <c r="K25" s="74">
        <f t="shared" si="8"/>
        <v>0</v>
      </c>
      <c r="L25" s="74">
        <f t="shared" si="8"/>
        <v>0</v>
      </c>
      <c r="M25" s="74">
        <f t="shared" ref="M25:N25" si="9">M24/$O$30</f>
        <v>0</v>
      </c>
      <c r="N25" s="74">
        <f t="shared" si="9"/>
        <v>0</v>
      </c>
      <c r="O25" s="73"/>
      <c r="P25" s="26"/>
      <c r="Q25" s="12"/>
    </row>
    <row r="26" spans="1:23" ht="18" customHeight="1" x14ac:dyDescent="0.15">
      <c r="A26" s="19"/>
      <c r="B26" s="31" t="s">
        <v>22</v>
      </c>
      <c r="C26" s="74">
        <f t="shared" ref="C26:L26" si="10">C27/$O$30</f>
        <v>0.26760563380281688</v>
      </c>
      <c r="D26" s="74">
        <f t="shared" si="10"/>
        <v>0.52112676056338025</v>
      </c>
      <c r="E26" s="74">
        <f t="shared" si="10"/>
        <v>0.78873239436619713</v>
      </c>
      <c r="F26" s="74">
        <f t="shared" si="10"/>
        <v>1</v>
      </c>
      <c r="G26" s="74">
        <f t="shared" si="10"/>
        <v>1</v>
      </c>
      <c r="H26" s="74">
        <f t="shared" si="10"/>
        <v>1</v>
      </c>
      <c r="I26" s="74">
        <f t="shared" si="10"/>
        <v>1</v>
      </c>
      <c r="J26" s="74">
        <f t="shared" si="10"/>
        <v>1</v>
      </c>
      <c r="K26" s="74">
        <f t="shared" si="10"/>
        <v>1</v>
      </c>
      <c r="L26" s="74">
        <f t="shared" si="10"/>
        <v>1</v>
      </c>
      <c r="M26" s="74">
        <f t="shared" ref="M26:N26" si="11">M27/$O$30</f>
        <v>1</v>
      </c>
      <c r="N26" s="74">
        <f t="shared" si="11"/>
        <v>1</v>
      </c>
      <c r="O26" s="41"/>
      <c r="P26" s="26"/>
      <c r="Q26" s="12"/>
    </row>
    <row r="27" spans="1:23" ht="18" customHeight="1" x14ac:dyDescent="0.15">
      <c r="A27" s="19"/>
      <c r="B27" s="31" t="s">
        <v>23</v>
      </c>
      <c r="C27" s="13">
        <f>C21</f>
        <v>200355</v>
      </c>
      <c r="D27" s="13">
        <f>C27+D21</f>
        <v>390165</v>
      </c>
      <c r="E27" s="13">
        <f t="shared" ref="E27:N27" si="12">D27+E21</f>
        <v>590520</v>
      </c>
      <c r="F27" s="13">
        <f t="shared" si="12"/>
        <v>748695</v>
      </c>
      <c r="G27" s="13">
        <f t="shared" si="12"/>
        <v>748695</v>
      </c>
      <c r="H27" s="13">
        <f t="shared" si="12"/>
        <v>748695</v>
      </c>
      <c r="I27" s="13">
        <f t="shared" si="12"/>
        <v>748695</v>
      </c>
      <c r="J27" s="13">
        <f t="shared" si="12"/>
        <v>748695</v>
      </c>
      <c r="K27" s="13">
        <f t="shared" si="12"/>
        <v>748695</v>
      </c>
      <c r="L27" s="13">
        <f t="shared" si="12"/>
        <v>748695</v>
      </c>
      <c r="M27" s="13">
        <f t="shared" si="12"/>
        <v>748695</v>
      </c>
      <c r="N27" s="13">
        <f t="shared" si="12"/>
        <v>748695</v>
      </c>
      <c r="O27" s="40">
        <f>MAX(C27:N27)</f>
        <v>748695</v>
      </c>
      <c r="P27" s="34"/>
    </row>
    <row r="28" spans="1:23" ht="18" customHeight="1" x14ac:dyDescent="0.15">
      <c r="A28" s="32"/>
      <c r="B28" s="78" t="s">
        <v>19</v>
      </c>
      <c r="C28" s="77">
        <f t="shared" ref="C28:H28" si="13">C27-C24</f>
        <v>200355</v>
      </c>
      <c r="D28" s="77">
        <f t="shared" si="13"/>
        <v>390165</v>
      </c>
      <c r="E28" s="77">
        <f t="shared" si="13"/>
        <v>590520</v>
      </c>
      <c r="F28" s="77">
        <f t="shared" si="13"/>
        <v>748695</v>
      </c>
      <c r="G28" s="77">
        <f t="shared" si="13"/>
        <v>748695</v>
      </c>
      <c r="H28" s="77">
        <f t="shared" si="13"/>
        <v>748695</v>
      </c>
      <c r="I28" s="77">
        <f t="shared" ref="I28:N28" si="14">I27-I24</f>
        <v>748695</v>
      </c>
      <c r="J28" s="77">
        <f t="shared" si="14"/>
        <v>748695</v>
      </c>
      <c r="K28" s="77">
        <f t="shared" si="14"/>
        <v>748695</v>
      </c>
      <c r="L28" s="77">
        <f t="shared" si="14"/>
        <v>748695</v>
      </c>
      <c r="M28" s="77">
        <f t="shared" si="14"/>
        <v>748695</v>
      </c>
      <c r="N28" s="77">
        <f t="shared" si="14"/>
        <v>748695</v>
      </c>
      <c r="O28" s="42"/>
      <c r="P28" s="37"/>
    </row>
    <row r="29" spans="1:23" ht="14" x14ac:dyDescent="0.15">
      <c r="A29" s="3"/>
      <c r="B29" s="3"/>
    </row>
    <row r="30" spans="1:23" ht="14" x14ac:dyDescent="0.15">
      <c r="F30" s="28"/>
      <c r="H30" s="4"/>
      <c r="I30" s="4"/>
      <c r="J30" s="4"/>
      <c r="K30" s="4"/>
      <c r="L30" s="4"/>
      <c r="M30" s="4"/>
      <c r="N30" s="4" t="s">
        <v>24</v>
      </c>
      <c r="O30" s="15">
        <v>748695</v>
      </c>
      <c r="P30" s="28"/>
    </row>
    <row r="31" spans="1:23" ht="14" x14ac:dyDescent="0.15">
      <c r="F31" s="28"/>
      <c r="H31" s="4"/>
      <c r="I31" s="4"/>
      <c r="J31" s="4"/>
      <c r="K31" s="4"/>
      <c r="L31" s="4"/>
      <c r="M31" s="4"/>
      <c r="N31" s="4" t="s">
        <v>25</v>
      </c>
      <c r="O31" s="15">
        <f>O30-O22</f>
        <v>748695</v>
      </c>
      <c r="P31" s="28"/>
    </row>
    <row r="32" spans="1:23" ht="14" x14ac:dyDescent="0.15">
      <c r="F32" s="28"/>
      <c r="H32" s="4"/>
      <c r="I32" s="4"/>
      <c r="J32" s="4"/>
      <c r="K32" s="4"/>
      <c r="L32" s="4"/>
      <c r="M32" s="4"/>
      <c r="N32" s="4" t="s">
        <v>26</v>
      </c>
      <c r="O32" s="15">
        <f>SUM(C21:N21)</f>
        <v>748695</v>
      </c>
      <c r="P32" s="28"/>
    </row>
    <row r="33" spans="1:16" ht="14" x14ac:dyDescent="0.15">
      <c r="F33" s="28"/>
      <c r="H33" s="4"/>
      <c r="I33" s="4"/>
      <c r="J33" s="4"/>
      <c r="K33" s="4"/>
      <c r="L33" s="4"/>
      <c r="M33" s="4"/>
      <c r="N33" s="4" t="s">
        <v>27</v>
      </c>
      <c r="O33" s="15">
        <f>O22</f>
        <v>0</v>
      </c>
      <c r="P33" s="29"/>
    </row>
    <row r="34" spans="1:16" ht="14" x14ac:dyDescent="0.15">
      <c r="A34" s="6"/>
      <c r="F34" s="28"/>
      <c r="G34" s="4"/>
      <c r="H34" s="4"/>
      <c r="I34" s="4"/>
      <c r="J34" s="4"/>
      <c r="K34" s="4"/>
      <c r="L34" s="4"/>
      <c r="M34" s="4"/>
      <c r="N34" s="4"/>
      <c r="O34" s="30"/>
      <c r="P34" s="28"/>
    </row>
    <row r="35" spans="1:16" ht="12.75" customHeight="1" thickBot="1" x14ac:dyDescent="0.2"/>
    <row r="36" spans="1:16" ht="12.75" customHeight="1" x14ac:dyDescent="0.15">
      <c r="A36" s="99" t="s">
        <v>28</v>
      </c>
      <c r="B36" s="100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2"/>
    </row>
    <row r="37" spans="1:16" ht="12.75" customHeight="1" x14ac:dyDescent="0.15">
      <c r="A37" s="103" t="s">
        <v>34</v>
      </c>
      <c r="B37" s="54" t="s">
        <v>38</v>
      </c>
      <c r="G37" s="104"/>
      <c r="H37" s="3"/>
      <c r="O37" s="105"/>
    </row>
    <row r="38" spans="1:16" ht="12.75" customHeight="1" x14ac:dyDescent="0.15">
      <c r="A38" s="103" t="s">
        <v>34</v>
      </c>
      <c r="B38" s="54" t="s">
        <v>39</v>
      </c>
      <c r="G38" s="104"/>
      <c r="H38" s="3"/>
      <c r="O38" s="106"/>
    </row>
    <row r="39" spans="1:16" ht="12.75" customHeight="1" x14ac:dyDescent="0.15">
      <c r="A39" s="103" t="s">
        <v>35</v>
      </c>
      <c r="B39" s="54" t="s">
        <v>40</v>
      </c>
      <c r="G39" s="104"/>
      <c r="H39" s="3"/>
      <c r="O39" s="106"/>
    </row>
    <row r="40" spans="1:16" ht="12.75" customHeight="1" x14ac:dyDescent="0.15">
      <c r="A40" s="103" t="s">
        <v>35</v>
      </c>
      <c r="B40" s="54" t="s">
        <v>41</v>
      </c>
      <c r="G40" s="104"/>
      <c r="O40" s="106"/>
    </row>
    <row r="41" spans="1:16" ht="12.75" customHeight="1" x14ac:dyDescent="0.15">
      <c r="A41" s="103" t="s">
        <v>36</v>
      </c>
      <c r="B41" s="54" t="s">
        <v>42</v>
      </c>
      <c r="G41" s="104"/>
      <c r="O41" s="106"/>
    </row>
    <row r="42" spans="1:16" ht="12.75" customHeight="1" x14ac:dyDescent="0.15">
      <c r="A42" s="103" t="s">
        <v>37</v>
      </c>
      <c r="B42" s="54" t="s">
        <v>43</v>
      </c>
      <c r="G42" s="104"/>
      <c r="O42" s="106"/>
    </row>
    <row r="43" spans="1:16" ht="12.75" customHeight="1" x14ac:dyDescent="0.15">
      <c r="A43" s="107"/>
      <c r="B43" s="54"/>
      <c r="G43" s="104"/>
      <c r="O43" s="106"/>
    </row>
    <row r="44" spans="1:16" ht="12.75" customHeight="1" x14ac:dyDescent="0.15">
      <c r="A44" s="107"/>
      <c r="B44" s="54"/>
      <c r="G44" s="104"/>
      <c r="H44" s="3"/>
      <c r="O44" s="106"/>
    </row>
    <row r="45" spans="1:16" ht="12.75" customHeight="1" thickBot="1" x14ac:dyDescent="0.2">
      <c r="A45" s="108"/>
      <c r="B45" s="97"/>
      <c r="C45" s="98"/>
      <c r="D45" s="98"/>
      <c r="E45" s="98"/>
      <c r="F45" s="98"/>
      <c r="G45" s="109"/>
      <c r="H45" s="98"/>
      <c r="I45" s="98"/>
      <c r="J45" s="98"/>
      <c r="K45" s="98"/>
      <c r="L45" s="98"/>
      <c r="M45" s="98"/>
      <c r="N45" s="98"/>
      <c r="O45" s="110"/>
    </row>
    <row r="46" spans="1:16" ht="12.75" customHeight="1" x14ac:dyDescent="0.15">
      <c r="A46" t="s">
        <v>29</v>
      </c>
      <c r="C46">
        <f>SUM(C37:C45)</f>
        <v>0</v>
      </c>
      <c r="D46">
        <f t="shared" ref="D46:N46" si="15">SUM(D37:D45)</f>
        <v>0</v>
      </c>
      <c r="E46">
        <f t="shared" si="15"/>
        <v>0</v>
      </c>
      <c r="F46">
        <f t="shared" si="15"/>
        <v>0</v>
      </c>
      <c r="G46">
        <f t="shared" si="15"/>
        <v>0</v>
      </c>
      <c r="H46">
        <f t="shared" si="15"/>
        <v>0</v>
      </c>
      <c r="I46">
        <f t="shared" si="15"/>
        <v>0</v>
      </c>
      <c r="J46">
        <f t="shared" si="15"/>
        <v>0</v>
      </c>
      <c r="K46">
        <f t="shared" si="15"/>
        <v>0</v>
      </c>
      <c r="L46">
        <f t="shared" si="15"/>
        <v>0</v>
      </c>
      <c r="M46">
        <f t="shared" si="15"/>
        <v>0</v>
      </c>
      <c r="N46">
        <f t="shared" si="15"/>
        <v>0</v>
      </c>
    </row>
    <row r="47" spans="1:16" ht="12.75" customHeight="1" thickBot="1" x14ac:dyDescent="0.2"/>
    <row r="48" spans="1:16" ht="12.75" customHeight="1" x14ac:dyDescent="0.15">
      <c r="A48" s="99" t="s">
        <v>30</v>
      </c>
      <c r="B48" s="100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2"/>
    </row>
    <row r="49" spans="1:15" ht="12.75" customHeight="1" x14ac:dyDescent="0.15">
      <c r="A49" s="103" t="s">
        <v>34</v>
      </c>
      <c r="B49" s="54" t="s">
        <v>38</v>
      </c>
      <c r="O49" s="106"/>
    </row>
    <row r="50" spans="1:15" ht="12.75" customHeight="1" x14ac:dyDescent="0.15">
      <c r="A50" s="103" t="s">
        <v>34</v>
      </c>
      <c r="B50" s="54" t="s">
        <v>39</v>
      </c>
      <c r="O50" s="106"/>
    </row>
    <row r="51" spans="1:15" ht="12.75" customHeight="1" x14ac:dyDescent="0.15">
      <c r="A51" s="103" t="s">
        <v>35</v>
      </c>
      <c r="B51" s="54" t="s">
        <v>40</v>
      </c>
      <c r="O51" s="106"/>
    </row>
    <row r="52" spans="1:15" ht="12.75" customHeight="1" x14ac:dyDescent="0.15">
      <c r="A52" s="103" t="s">
        <v>35</v>
      </c>
      <c r="B52" s="54" t="s">
        <v>41</v>
      </c>
      <c r="O52" s="106"/>
    </row>
    <row r="53" spans="1:15" ht="12.75" customHeight="1" x14ac:dyDescent="0.15">
      <c r="A53" s="103" t="s">
        <v>36</v>
      </c>
      <c r="B53" s="54" t="s">
        <v>42</v>
      </c>
      <c r="O53" s="106"/>
    </row>
    <row r="54" spans="1:15" ht="12.75" customHeight="1" x14ac:dyDescent="0.15">
      <c r="A54" s="103" t="s">
        <v>37</v>
      </c>
      <c r="B54" s="54" t="s">
        <v>43</v>
      </c>
      <c r="O54" s="106"/>
    </row>
    <row r="55" spans="1:15" ht="12.75" customHeight="1" x14ac:dyDescent="0.15">
      <c r="A55" s="107"/>
      <c r="B55" s="54"/>
      <c r="O55" s="106"/>
    </row>
    <row r="56" spans="1:15" ht="12.75" customHeight="1" x14ac:dyDescent="0.15">
      <c r="A56" s="107"/>
      <c r="B56" s="54"/>
      <c r="O56" s="106"/>
    </row>
    <row r="57" spans="1:15" ht="12.75" customHeight="1" thickBot="1" x14ac:dyDescent="0.2">
      <c r="A57" s="108"/>
      <c r="B57" s="97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110"/>
    </row>
    <row r="58" spans="1:15" ht="12.75" customHeight="1" x14ac:dyDescent="0.15">
      <c r="A58" t="s">
        <v>29</v>
      </c>
      <c r="C58">
        <f>SUM(C49:C57)</f>
        <v>0</v>
      </c>
      <c r="D58">
        <f t="shared" ref="D58:N58" si="16">SUM(D49:D57)</f>
        <v>0</v>
      </c>
      <c r="E58">
        <f t="shared" si="16"/>
        <v>0</v>
      </c>
      <c r="F58">
        <f t="shared" si="16"/>
        <v>0</v>
      </c>
      <c r="G58">
        <f t="shared" si="16"/>
        <v>0</v>
      </c>
      <c r="H58">
        <f t="shared" si="16"/>
        <v>0</v>
      </c>
      <c r="I58">
        <f t="shared" si="16"/>
        <v>0</v>
      </c>
      <c r="J58">
        <f t="shared" si="16"/>
        <v>0</v>
      </c>
      <c r="K58">
        <f t="shared" si="16"/>
        <v>0</v>
      </c>
      <c r="L58">
        <f t="shared" si="16"/>
        <v>0</v>
      </c>
      <c r="M58">
        <f t="shared" si="16"/>
        <v>0</v>
      </c>
      <c r="N58">
        <f t="shared" si="16"/>
        <v>0</v>
      </c>
    </row>
  </sheetData>
  <mergeCells count="3">
    <mergeCell ref="A1:P2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D35A-9E4E-46C2-8100-C253864EBC3B}">
  <dimension ref="A1:W36"/>
  <sheetViews>
    <sheetView zoomScale="160" zoomScaleNormal="160" workbookViewId="0">
      <selection activeCell="G40" sqref="G40"/>
    </sheetView>
  </sheetViews>
  <sheetFormatPr baseColWidth="10" defaultColWidth="8.83203125" defaultRowHeight="12.75" customHeight="1" x14ac:dyDescent="0.15"/>
  <cols>
    <col min="1" max="1" width="25.5" customWidth="1"/>
    <col min="2" max="2" width="26.83203125" customWidth="1"/>
    <col min="3" max="14" width="14.6640625" customWidth="1"/>
    <col min="15" max="15" width="18.6640625" customWidth="1"/>
    <col min="16" max="16" width="15.33203125" customWidth="1"/>
    <col min="17" max="17" width="18.5" customWidth="1"/>
    <col min="18" max="18" width="14.5" customWidth="1"/>
    <col min="19" max="19" width="15" bestFit="1" customWidth="1"/>
    <col min="20" max="20" width="12.6640625" bestFit="1" customWidth="1"/>
    <col min="21" max="21" width="27" customWidth="1"/>
    <col min="22" max="22" width="24.1640625" customWidth="1"/>
    <col min="23" max="23" width="13.83203125" bestFit="1" customWidth="1"/>
  </cols>
  <sheetData>
    <row r="1" spans="1:18" ht="15" customHeight="1" x14ac:dyDescent="0.15">
      <c r="A1" s="117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9"/>
    </row>
    <row r="2" spans="1:18" ht="13" x14ac:dyDescent="0.15">
      <c r="A2" s="120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21"/>
      <c r="R2" s="5"/>
    </row>
    <row r="3" spans="1:18" ht="14" x14ac:dyDescent="0.15">
      <c r="A3" s="46" t="s">
        <v>1</v>
      </c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61" t="s">
        <v>2</v>
      </c>
      <c r="P3" s="69" t="s">
        <v>3</v>
      </c>
    </row>
    <row r="4" spans="1:18" ht="17.25" customHeight="1" x14ac:dyDescent="0.15">
      <c r="A4" s="113" t="s">
        <v>4</v>
      </c>
      <c r="B4" s="114"/>
      <c r="C4" s="49">
        <v>19</v>
      </c>
      <c r="D4" s="49">
        <v>20</v>
      </c>
      <c r="E4" s="49">
        <v>20</v>
      </c>
      <c r="F4" s="49">
        <v>20</v>
      </c>
      <c r="G4" s="49">
        <v>22</v>
      </c>
      <c r="H4" s="49">
        <v>21</v>
      </c>
      <c r="I4" s="49">
        <v>20</v>
      </c>
      <c r="J4" s="49"/>
      <c r="K4" s="49"/>
      <c r="L4" s="49"/>
      <c r="M4" s="49"/>
      <c r="N4" s="49"/>
      <c r="O4" s="66">
        <f>SUM(C4:N4)</f>
        <v>142</v>
      </c>
      <c r="P4" s="62">
        <f>AVERAGE(C4:N4)</f>
        <v>20.285714285714285</v>
      </c>
      <c r="Q4" s="5"/>
      <c r="R4" s="5"/>
    </row>
    <row r="5" spans="1:18" ht="17.25" customHeight="1" x14ac:dyDescent="0.15">
      <c r="A5" s="115" t="s">
        <v>5</v>
      </c>
      <c r="B5" s="116"/>
      <c r="C5" s="51"/>
      <c r="D5" s="51">
        <v>2</v>
      </c>
      <c r="E5" s="51">
        <v>1</v>
      </c>
      <c r="F5" s="51">
        <v>0</v>
      </c>
      <c r="G5" s="51">
        <f>G4-9</f>
        <v>13</v>
      </c>
      <c r="H5" s="51"/>
      <c r="I5" s="51"/>
      <c r="J5" s="51"/>
      <c r="K5" s="51"/>
      <c r="L5" s="51"/>
      <c r="M5" s="51"/>
      <c r="N5" s="51"/>
      <c r="O5" s="52">
        <f>SUM(C5:N5)</f>
        <v>16</v>
      </c>
      <c r="P5" s="63">
        <f t="shared" ref="P5:P6" si="0">AVERAGE(C5:N5)</f>
        <v>4</v>
      </c>
    </row>
    <row r="6" spans="1:18" ht="17.25" customHeight="1" x14ac:dyDescent="0.15">
      <c r="A6" s="50" t="s">
        <v>6</v>
      </c>
      <c r="B6" s="51">
        <v>7.5</v>
      </c>
      <c r="C6" s="51">
        <f>(C4-C5)*$B$6</f>
        <v>142.5</v>
      </c>
      <c r="D6" s="51">
        <f t="shared" ref="D6:N6" si="1">(D4-D5)*$B$6</f>
        <v>135</v>
      </c>
      <c r="E6" s="51">
        <f t="shared" si="1"/>
        <v>142.5</v>
      </c>
      <c r="F6" s="51">
        <f t="shared" si="1"/>
        <v>150</v>
      </c>
      <c r="G6" s="51">
        <f t="shared" si="1"/>
        <v>67.5</v>
      </c>
      <c r="H6" s="51">
        <f t="shared" si="1"/>
        <v>157.5</v>
      </c>
      <c r="I6" s="51">
        <f t="shared" si="1"/>
        <v>150</v>
      </c>
      <c r="J6" s="51">
        <f t="shared" si="1"/>
        <v>0</v>
      </c>
      <c r="K6" s="51">
        <f t="shared" si="1"/>
        <v>0</v>
      </c>
      <c r="L6" s="51">
        <f t="shared" si="1"/>
        <v>0</v>
      </c>
      <c r="M6" s="51">
        <f t="shared" si="1"/>
        <v>0</v>
      </c>
      <c r="N6" s="51">
        <f t="shared" si="1"/>
        <v>0</v>
      </c>
      <c r="O6" s="52">
        <f>SUM(C6:N6)</f>
        <v>945</v>
      </c>
      <c r="P6" s="63">
        <f t="shared" si="0"/>
        <v>78.75</v>
      </c>
    </row>
    <row r="7" spans="1:18" ht="14" x14ac:dyDescent="0.15">
      <c r="A7" s="20"/>
      <c r="B7" s="16"/>
      <c r="C7" s="17" t="s">
        <v>12</v>
      </c>
      <c r="D7" s="17" t="s">
        <v>13</v>
      </c>
      <c r="E7" s="17" t="s">
        <v>7</v>
      </c>
      <c r="F7" s="17" t="s">
        <v>8</v>
      </c>
      <c r="G7" s="17" t="s">
        <v>9</v>
      </c>
      <c r="H7" s="17" t="s">
        <v>10</v>
      </c>
      <c r="I7" s="17" t="s">
        <v>11</v>
      </c>
      <c r="J7" s="17"/>
      <c r="K7" s="17"/>
      <c r="L7" s="17"/>
      <c r="M7" s="17"/>
      <c r="N7" s="17"/>
      <c r="O7" s="33"/>
      <c r="P7" s="64"/>
      <c r="Q7" s="21" t="s">
        <v>14</v>
      </c>
    </row>
    <row r="8" spans="1:18" ht="13" x14ac:dyDescent="0.15">
      <c r="A8" s="95" t="s">
        <v>34</v>
      </c>
      <c r="B8" s="54" t="s">
        <v>38</v>
      </c>
      <c r="C8" s="55">
        <v>1</v>
      </c>
      <c r="D8" s="55">
        <v>1</v>
      </c>
      <c r="E8" s="55">
        <v>1</v>
      </c>
      <c r="F8" s="55">
        <v>1</v>
      </c>
      <c r="G8" s="55">
        <v>1</v>
      </c>
      <c r="H8" s="55"/>
      <c r="I8" s="55"/>
      <c r="J8" s="55"/>
      <c r="K8" s="55"/>
      <c r="L8" s="55"/>
      <c r="M8" s="55"/>
      <c r="N8" s="55"/>
      <c r="O8" s="67">
        <f>SUM(C8:N8)</f>
        <v>5</v>
      </c>
      <c r="P8" s="34"/>
      <c r="Q8" s="22">
        <v>350</v>
      </c>
    </row>
    <row r="9" spans="1:18" ht="14" x14ac:dyDescent="0.15">
      <c r="A9" s="95" t="s">
        <v>34</v>
      </c>
      <c r="B9" s="54" t="s">
        <v>39</v>
      </c>
      <c r="C9" s="56">
        <v>1</v>
      </c>
      <c r="D9" s="56">
        <v>1</v>
      </c>
      <c r="E9" s="56">
        <v>1</v>
      </c>
      <c r="F9" s="56">
        <v>1</v>
      </c>
      <c r="G9" s="56">
        <v>1</v>
      </c>
      <c r="H9" s="56"/>
      <c r="I9" s="56"/>
      <c r="J9" s="56"/>
      <c r="K9" s="56"/>
      <c r="L9" s="56"/>
      <c r="M9" s="56"/>
      <c r="N9" s="56"/>
      <c r="O9" s="67">
        <f t="shared" ref="O9:O16" si="2">SUM(C9:N9)</f>
        <v>5</v>
      </c>
      <c r="P9" s="65"/>
      <c r="Q9" s="22">
        <v>350</v>
      </c>
    </row>
    <row r="10" spans="1:18" ht="13" x14ac:dyDescent="0.15">
      <c r="A10" s="95" t="s">
        <v>35</v>
      </c>
      <c r="B10" s="54" t="s">
        <v>40</v>
      </c>
      <c r="C10" s="55">
        <v>1</v>
      </c>
      <c r="D10" s="55">
        <v>1</v>
      </c>
      <c r="E10" s="55">
        <v>1</v>
      </c>
      <c r="F10" s="55">
        <v>1</v>
      </c>
      <c r="G10" s="55">
        <v>1</v>
      </c>
      <c r="H10" s="55"/>
      <c r="I10" s="55"/>
      <c r="J10" s="55"/>
      <c r="K10" s="55"/>
      <c r="L10" s="55"/>
      <c r="M10" s="54"/>
      <c r="N10" s="54"/>
      <c r="O10" s="67">
        <f t="shared" si="2"/>
        <v>5</v>
      </c>
      <c r="P10" s="65"/>
      <c r="Q10" s="22">
        <v>300</v>
      </c>
    </row>
    <row r="11" spans="1:18" ht="13" x14ac:dyDescent="0.15">
      <c r="A11" s="95" t="s">
        <v>35</v>
      </c>
      <c r="B11" s="54" t="s">
        <v>41</v>
      </c>
      <c r="C11" s="55">
        <v>0.5</v>
      </c>
      <c r="D11" s="55">
        <v>0.5</v>
      </c>
      <c r="E11" s="55">
        <v>0.5</v>
      </c>
      <c r="F11" s="55">
        <v>0.5</v>
      </c>
      <c r="G11" s="55">
        <v>0.5</v>
      </c>
      <c r="H11" s="55"/>
      <c r="I11" s="55"/>
      <c r="J11" s="55"/>
      <c r="K11" s="55"/>
      <c r="L11" s="55"/>
      <c r="M11" s="54"/>
      <c r="N11" s="54"/>
      <c r="O11" s="67">
        <f t="shared" si="2"/>
        <v>2.5</v>
      </c>
      <c r="P11" s="65"/>
      <c r="Q11" s="22">
        <v>300</v>
      </c>
    </row>
    <row r="12" spans="1:18" ht="13" x14ac:dyDescent="0.15">
      <c r="A12" s="95" t="s">
        <v>36</v>
      </c>
      <c r="B12" s="54" t="s">
        <v>42</v>
      </c>
      <c r="C12" s="55">
        <v>1</v>
      </c>
      <c r="D12" s="55">
        <v>1</v>
      </c>
      <c r="E12" s="55">
        <v>1</v>
      </c>
      <c r="F12" s="55">
        <v>1</v>
      </c>
      <c r="G12" s="55">
        <v>1</v>
      </c>
      <c r="H12" s="55"/>
      <c r="I12" s="55"/>
      <c r="J12" s="55"/>
      <c r="K12" s="55"/>
      <c r="L12" s="55"/>
      <c r="M12" s="55"/>
      <c r="N12" s="55"/>
      <c r="O12" s="67">
        <f t="shared" si="2"/>
        <v>5</v>
      </c>
      <c r="P12" s="65"/>
      <c r="Q12" s="22">
        <v>200</v>
      </c>
    </row>
    <row r="13" spans="1:18" ht="13" x14ac:dyDescent="0.15">
      <c r="A13" s="95" t="s">
        <v>37</v>
      </c>
      <c r="B13" s="54" t="s">
        <v>43</v>
      </c>
      <c r="C13" s="55">
        <v>0.2</v>
      </c>
      <c r="D13" s="55">
        <v>0.2</v>
      </c>
      <c r="E13" s="55">
        <v>0.2</v>
      </c>
      <c r="F13" s="55">
        <v>0.2</v>
      </c>
      <c r="G13" s="55">
        <v>0.2</v>
      </c>
      <c r="H13" s="55"/>
      <c r="I13" s="55"/>
      <c r="J13" s="55"/>
      <c r="K13" s="55"/>
      <c r="L13" s="55"/>
      <c r="M13" s="55"/>
      <c r="N13" s="55"/>
      <c r="O13" s="67">
        <f t="shared" si="2"/>
        <v>1</v>
      </c>
      <c r="P13" s="65"/>
      <c r="Q13" s="22">
        <v>280</v>
      </c>
    </row>
    <row r="14" spans="1:18" ht="13" x14ac:dyDescent="0.15">
      <c r="A14" s="53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67">
        <f t="shared" si="2"/>
        <v>0</v>
      </c>
      <c r="P14" s="65"/>
      <c r="Q14" s="22"/>
    </row>
    <row r="15" spans="1:18" ht="13" x14ac:dyDescent="0.15">
      <c r="A15" s="53"/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67">
        <f t="shared" si="2"/>
        <v>0</v>
      </c>
      <c r="P15" s="65"/>
      <c r="Q15" s="22"/>
    </row>
    <row r="16" spans="1:18" ht="13" x14ac:dyDescent="0.15">
      <c r="A16" s="57"/>
      <c r="B16" s="5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7">
        <f t="shared" si="2"/>
        <v>0</v>
      </c>
      <c r="P16" s="34"/>
      <c r="Q16" s="23"/>
    </row>
    <row r="17" spans="1:23" ht="14" x14ac:dyDescent="0.15">
      <c r="A17" s="19"/>
      <c r="B17" t="s">
        <v>15</v>
      </c>
      <c r="C17" s="1">
        <f>SUM(C8:C16)</f>
        <v>4.7</v>
      </c>
      <c r="D17" s="1">
        <f t="shared" ref="D17:N17" si="3">SUM(D8:D16)</f>
        <v>4.7</v>
      </c>
      <c r="E17" s="1">
        <f t="shared" si="3"/>
        <v>4.7</v>
      </c>
      <c r="F17" s="1">
        <f t="shared" si="3"/>
        <v>4.7</v>
      </c>
      <c r="G17" s="1">
        <f t="shared" si="3"/>
        <v>4.7</v>
      </c>
      <c r="H17" s="1">
        <f t="shared" si="3"/>
        <v>0</v>
      </c>
      <c r="I17" s="1">
        <f t="shared" si="3"/>
        <v>0</v>
      </c>
      <c r="J17" s="1">
        <f t="shared" si="3"/>
        <v>0</v>
      </c>
      <c r="K17" s="1">
        <f t="shared" si="3"/>
        <v>0</v>
      </c>
      <c r="L17" s="1">
        <f t="shared" si="3"/>
        <v>0</v>
      </c>
      <c r="M17" s="1">
        <f t="shared" si="3"/>
        <v>0</v>
      </c>
      <c r="N17" s="1">
        <f t="shared" si="3"/>
        <v>0</v>
      </c>
      <c r="O17" s="68">
        <f>SUM(C17:N17)</f>
        <v>23.5</v>
      </c>
      <c r="P17" s="64"/>
      <c r="U17" s="3"/>
      <c r="V17" s="3"/>
      <c r="W17" s="3"/>
    </row>
    <row r="18" spans="1:23" ht="10.5" customHeight="1" x14ac:dyDescent="0.15">
      <c r="A18" s="33"/>
      <c r="B18" s="25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38"/>
      <c r="P18" s="35"/>
      <c r="U18" s="3"/>
      <c r="V18" s="3"/>
      <c r="W18" s="3"/>
    </row>
    <row r="19" spans="1:23" ht="14" x14ac:dyDescent="0.15">
      <c r="A19" s="53" t="s">
        <v>16</v>
      </c>
      <c r="B19" s="54"/>
      <c r="C19" s="55">
        <f>SUMPRODUCT(C8:C16)*C6</f>
        <v>669.75</v>
      </c>
      <c r="D19" s="55">
        <f t="shared" ref="D19:N19" si="4">SUMPRODUCT(D8:D16)*D6</f>
        <v>634.5</v>
      </c>
      <c r="E19" s="55">
        <f t="shared" si="4"/>
        <v>669.75</v>
      </c>
      <c r="F19" s="55">
        <f t="shared" si="4"/>
        <v>705</v>
      </c>
      <c r="G19" s="55">
        <f t="shared" si="4"/>
        <v>317.25</v>
      </c>
      <c r="H19" s="55">
        <f t="shared" si="4"/>
        <v>0</v>
      </c>
      <c r="I19" s="55">
        <f t="shared" si="4"/>
        <v>0</v>
      </c>
      <c r="J19" s="55">
        <f t="shared" si="4"/>
        <v>0</v>
      </c>
      <c r="K19" s="55">
        <f t="shared" si="4"/>
        <v>0</v>
      </c>
      <c r="L19" s="55">
        <f t="shared" si="4"/>
        <v>0</v>
      </c>
      <c r="M19" s="55">
        <f t="shared" si="4"/>
        <v>0</v>
      </c>
      <c r="N19" s="55">
        <f t="shared" si="4"/>
        <v>0</v>
      </c>
      <c r="O19" s="53">
        <f>SUM(C19:N19)</f>
        <v>2996.25</v>
      </c>
      <c r="P19" s="60">
        <f>AVERAGE(C19:N19)</f>
        <v>249.6875</v>
      </c>
      <c r="U19" s="3"/>
      <c r="V19" s="3"/>
      <c r="W19" s="3"/>
    </row>
    <row r="20" spans="1:23" ht="14" x14ac:dyDescent="0.15">
      <c r="A20" s="18"/>
      <c r="B20" s="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39"/>
      <c r="P20" s="36"/>
      <c r="U20" s="7"/>
      <c r="V20" s="8"/>
      <c r="W20" s="9"/>
    </row>
    <row r="21" spans="1:23" ht="18" customHeight="1" x14ac:dyDescent="0.15">
      <c r="A21" s="19"/>
      <c r="B21" s="11" t="s">
        <v>17</v>
      </c>
      <c r="C21" s="13">
        <f>((C8*$Q8)+(C9*$Q9)+(C10*$Q10)+(C11*$Q11)+(C12*$Q12)+(C13*$Q13)+(C14*$Q14)+(C15*$Q15)+(C16*$Q16))*C6</f>
        <v>200355</v>
      </c>
      <c r="D21" s="13">
        <f t="shared" ref="D21:N21" si="5">((D8*$Q8)+(D9*$Q9)+(D10*$Q10)+(D11*$Q11)+(D12*$Q12)+(D13*$Q13)+(D14*$Q14)+(D15*$Q15)+(D16*$Q16))*D6</f>
        <v>189810</v>
      </c>
      <c r="E21" s="13">
        <f t="shared" si="5"/>
        <v>200355</v>
      </c>
      <c r="F21" s="13">
        <f t="shared" si="5"/>
        <v>210900</v>
      </c>
      <c r="G21" s="13">
        <f t="shared" si="5"/>
        <v>94905</v>
      </c>
      <c r="H21" s="13">
        <f t="shared" si="5"/>
        <v>0</v>
      </c>
      <c r="I21" s="13">
        <f t="shared" si="5"/>
        <v>0</v>
      </c>
      <c r="J21" s="13">
        <f t="shared" si="5"/>
        <v>0</v>
      </c>
      <c r="K21" s="13">
        <f t="shared" si="5"/>
        <v>0</v>
      </c>
      <c r="L21" s="13">
        <f t="shared" si="5"/>
        <v>0</v>
      </c>
      <c r="M21" s="13">
        <f t="shared" si="5"/>
        <v>0</v>
      </c>
      <c r="N21" s="13">
        <f t="shared" si="5"/>
        <v>0</v>
      </c>
      <c r="O21" s="40">
        <f>SUM(C21:N21)</f>
        <v>896325</v>
      </c>
      <c r="P21" s="27">
        <f>AVERAGE(C21:N21)</f>
        <v>74693.75</v>
      </c>
      <c r="Q21" s="2"/>
      <c r="T21" s="10"/>
    </row>
    <row r="22" spans="1:23" ht="18" customHeight="1" x14ac:dyDescent="0.15">
      <c r="A22" s="19"/>
      <c r="B22" s="11" t="s">
        <v>18</v>
      </c>
      <c r="C22" s="13">
        <v>202000</v>
      </c>
      <c r="D22" s="13">
        <v>160000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40">
        <f>SUM(C22:N22)</f>
        <v>362000</v>
      </c>
      <c r="P22" s="27">
        <f>AVERAGE(C22:N22)</f>
        <v>181000</v>
      </c>
      <c r="Q22" s="45" t="str">
        <f>IF(O23&gt;0,"above budget","below budget")</f>
        <v>below budget</v>
      </c>
    </row>
    <row r="23" spans="1:23" ht="18" customHeight="1" x14ac:dyDescent="0.15">
      <c r="A23" s="19"/>
      <c r="B23" s="81" t="s">
        <v>19</v>
      </c>
      <c r="C23" s="79">
        <f>C22-C21</f>
        <v>1645</v>
      </c>
      <c r="D23" s="79">
        <f>D22-D21</f>
        <v>-29810</v>
      </c>
      <c r="E23" s="79">
        <f t="shared" ref="E23:G23" si="6">E22-E21</f>
        <v>-200355</v>
      </c>
      <c r="F23" s="79">
        <f t="shared" si="6"/>
        <v>-210900</v>
      </c>
      <c r="G23" s="79">
        <f t="shared" si="6"/>
        <v>-94905</v>
      </c>
      <c r="H23" s="79">
        <f>H22-H21</f>
        <v>0</v>
      </c>
      <c r="I23" s="79"/>
      <c r="J23" s="79"/>
      <c r="K23" s="79"/>
      <c r="L23" s="79"/>
      <c r="M23" s="79"/>
      <c r="N23" s="79"/>
      <c r="O23" s="80">
        <f>SUM(C23:N23)</f>
        <v>-534325</v>
      </c>
      <c r="P23" s="27">
        <f>AVERAGE(C23:N23)</f>
        <v>-89054.166666666672</v>
      </c>
      <c r="Q23" s="44">
        <f>O23/O30</f>
        <v>-0.71367512805615108</v>
      </c>
    </row>
    <row r="24" spans="1:23" ht="18" customHeight="1" x14ac:dyDescent="0.15">
      <c r="A24" s="33"/>
      <c r="B24" s="85" t="s">
        <v>20</v>
      </c>
      <c r="C24" s="86">
        <f>C22+0</f>
        <v>202000</v>
      </c>
      <c r="D24" s="86">
        <f>D22+C24</f>
        <v>362000</v>
      </c>
      <c r="E24" s="86"/>
      <c r="F24" s="86"/>
      <c r="G24" s="86"/>
      <c r="H24" s="86"/>
      <c r="I24" s="86"/>
      <c r="J24" s="86"/>
      <c r="K24" s="86"/>
      <c r="L24" s="86"/>
      <c r="M24" s="86"/>
      <c r="N24" s="87"/>
      <c r="O24" s="91"/>
      <c r="P24" s="26"/>
      <c r="Q24" s="43"/>
    </row>
    <row r="25" spans="1:23" ht="18" customHeight="1" x14ac:dyDescent="0.15">
      <c r="A25" s="19"/>
      <c r="B25" s="75" t="s">
        <v>21</v>
      </c>
      <c r="C25" s="74">
        <f>C24/$O$30</f>
        <v>0.26980279018826092</v>
      </c>
      <c r="D25" s="74">
        <f t="shared" ref="D25:L25" si="7">D24/$O$30</f>
        <v>0.48350797053539823</v>
      </c>
      <c r="E25" s="74">
        <f t="shared" si="7"/>
        <v>0</v>
      </c>
      <c r="F25" s="74">
        <f t="shared" si="7"/>
        <v>0</v>
      </c>
      <c r="G25" s="74">
        <f t="shared" si="7"/>
        <v>0</v>
      </c>
      <c r="H25" s="74">
        <f t="shared" si="7"/>
        <v>0</v>
      </c>
      <c r="I25" s="74">
        <f t="shared" si="7"/>
        <v>0</v>
      </c>
      <c r="J25" s="74">
        <f t="shared" si="7"/>
        <v>0</v>
      </c>
      <c r="K25" s="74">
        <f t="shared" si="7"/>
        <v>0</v>
      </c>
      <c r="L25" s="74">
        <f t="shared" si="7"/>
        <v>0</v>
      </c>
      <c r="M25" s="74">
        <f t="shared" ref="M25:N25" si="8">M24/$O$30</f>
        <v>0</v>
      </c>
      <c r="N25" s="88">
        <f t="shared" si="8"/>
        <v>0</v>
      </c>
      <c r="O25" s="91"/>
      <c r="P25" s="26"/>
      <c r="Q25" s="12"/>
    </row>
    <row r="26" spans="1:23" ht="18" customHeight="1" x14ac:dyDescent="0.15">
      <c r="A26" s="19"/>
      <c r="B26" s="31" t="s">
        <v>22</v>
      </c>
      <c r="C26" s="74">
        <f t="shared" ref="C26:L26" si="9">C27/$O$30</f>
        <v>0.26760563380281688</v>
      </c>
      <c r="D26" s="74">
        <f t="shared" si="9"/>
        <v>0.52112676056338025</v>
      </c>
      <c r="E26" s="74">
        <f t="shared" si="9"/>
        <v>0.78873239436619713</v>
      </c>
      <c r="F26" s="74">
        <f t="shared" si="9"/>
        <v>1.0704225352112675</v>
      </c>
      <c r="G26" s="74">
        <f t="shared" si="9"/>
        <v>1.1971830985915493</v>
      </c>
      <c r="H26" s="74">
        <f t="shared" si="9"/>
        <v>1.1971830985915493</v>
      </c>
      <c r="I26" s="74">
        <f t="shared" si="9"/>
        <v>0</v>
      </c>
      <c r="J26" s="74">
        <f t="shared" si="9"/>
        <v>0</v>
      </c>
      <c r="K26" s="74">
        <f t="shared" si="9"/>
        <v>0</v>
      </c>
      <c r="L26" s="74">
        <f t="shared" si="9"/>
        <v>0</v>
      </c>
      <c r="M26" s="74">
        <f t="shared" ref="M26:N26" si="10">M27/$O$30</f>
        <v>0</v>
      </c>
      <c r="N26" s="88">
        <f t="shared" si="10"/>
        <v>0</v>
      </c>
      <c r="O26" s="92"/>
      <c r="P26" s="26"/>
      <c r="Q26" s="12"/>
    </row>
    <row r="27" spans="1:23" ht="18" customHeight="1" x14ac:dyDescent="0.15">
      <c r="A27" s="19"/>
      <c r="B27" s="31" t="s">
        <v>23</v>
      </c>
      <c r="C27" s="13">
        <f>C21</f>
        <v>200355</v>
      </c>
      <c r="D27" s="13">
        <f>C27+D21</f>
        <v>390165</v>
      </c>
      <c r="E27" s="13">
        <f>D27+E21</f>
        <v>590520</v>
      </c>
      <c r="F27" s="13">
        <f>E27+F21</f>
        <v>801420</v>
      </c>
      <c r="G27" s="13">
        <f>F27+G21</f>
        <v>896325</v>
      </c>
      <c r="H27" s="13">
        <f>G27+H21</f>
        <v>896325</v>
      </c>
      <c r="I27" s="13"/>
      <c r="J27" s="13"/>
      <c r="K27" s="13"/>
      <c r="L27" s="13"/>
      <c r="M27" s="13"/>
      <c r="N27" s="89"/>
      <c r="O27" s="15"/>
      <c r="P27" s="34"/>
    </row>
    <row r="28" spans="1:23" ht="18" customHeight="1" x14ac:dyDescent="0.15">
      <c r="A28" s="32"/>
      <c r="B28" s="82" t="s">
        <v>19</v>
      </c>
      <c r="C28" s="83">
        <f>C27-C24</f>
        <v>-1645</v>
      </c>
      <c r="D28" s="83">
        <f>D27-D24</f>
        <v>28165</v>
      </c>
      <c r="E28" s="83">
        <f>E27-E24</f>
        <v>590520</v>
      </c>
      <c r="F28" s="83"/>
      <c r="G28" s="83"/>
      <c r="H28" s="83"/>
      <c r="I28" s="83"/>
      <c r="J28" s="83"/>
      <c r="K28" s="83"/>
      <c r="L28" s="83"/>
      <c r="M28" s="83"/>
      <c r="N28" s="90"/>
      <c r="O28" s="93"/>
      <c r="P28" s="84"/>
    </row>
    <row r="29" spans="1:23" ht="14" x14ac:dyDescent="0.15">
      <c r="A29" s="3"/>
      <c r="B29" s="3"/>
    </row>
    <row r="30" spans="1:23" ht="14" x14ac:dyDescent="0.15">
      <c r="F30" s="28"/>
      <c r="H30" s="4"/>
      <c r="I30" s="4"/>
      <c r="J30" s="4"/>
      <c r="K30" s="4"/>
      <c r="L30" s="4"/>
      <c r="M30" s="4"/>
      <c r="N30" s="4" t="s">
        <v>31</v>
      </c>
      <c r="O30" s="96">
        <f>'Budget Cost Control'!O30</f>
        <v>748695</v>
      </c>
      <c r="P30" s="28"/>
    </row>
    <row r="31" spans="1:23" ht="14" x14ac:dyDescent="0.15">
      <c r="F31" s="28"/>
      <c r="H31" s="4"/>
      <c r="I31" s="4"/>
      <c r="J31" s="4"/>
      <c r="K31" s="4"/>
      <c r="L31" s="4"/>
      <c r="M31" s="4"/>
      <c r="N31" s="4" t="s">
        <v>32</v>
      </c>
      <c r="O31" s="15">
        <f>O21</f>
        <v>896325</v>
      </c>
      <c r="P31" s="28"/>
    </row>
    <row r="32" spans="1:23" ht="14" x14ac:dyDescent="0.15">
      <c r="F32" s="28"/>
      <c r="H32" s="4"/>
      <c r="I32" s="4"/>
      <c r="J32" s="4"/>
      <c r="K32" s="4"/>
      <c r="L32" s="4"/>
      <c r="M32" s="4"/>
      <c r="N32" s="4" t="s">
        <v>19</v>
      </c>
      <c r="O32" s="94">
        <f>O30-O31</f>
        <v>-147630</v>
      </c>
      <c r="P32" s="28"/>
    </row>
    <row r="33" spans="1:16" ht="14" x14ac:dyDescent="0.15">
      <c r="F33" s="28"/>
      <c r="H33" s="4"/>
      <c r="I33" s="4"/>
      <c r="J33" s="4"/>
      <c r="K33" s="4"/>
      <c r="L33" s="4"/>
      <c r="M33" s="4"/>
      <c r="N33" s="4"/>
      <c r="O33" s="94"/>
      <c r="P33" s="28"/>
    </row>
    <row r="34" spans="1:16" ht="14" x14ac:dyDescent="0.15">
      <c r="F34" s="28"/>
      <c r="H34" s="4"/>
      <c r="I34" s="4"/>
      <c r="J34" s="4"/>
      <c r="K34" s="4"/>
      <c r="L34" s="4"/>
      <c r="M34" s="4"/>
      <c r="N34" s="4" t="s">
        <v>27</v>
      </c>
      <c r="O34" s="15">
        <f>O22</f>
        <v>362000</v>
      </c>
      <c r="P34" s="28"/>
    </row>
    <row r="35" spans="1:16" ht="14" x14ac:dyDescent="0.15">
      <c r="F35" s="28"/>
      <c r="H35" s="4"/>
      <c r="I35" s="4"/>
      <c r="J35" s="4"/>
      <c r="K35" s="4"/>
      <c r="L35" s="4"/>
      <c r="M35" s="4"/>
      <c r="N35" s="4" t="s">
        <v>33</v>
      </c>
      <c r="O35" s="15">
        <f>O30-O22</f>
        <v>386695</v>
      </c>
      <c r="P35" s="29"/>
    </row>
    <row r="36" spans="1:16" ht="14" x14ac:dyDescent="0.15">
      <c r="A36" s="6"/>
      <c r="F36" s="28"/>
      <c r="G36" s="4"/>
      <c r="H36" s="4"/>
      <c r="I36" s="4"/>
      <c r="J36" s="4"/>
      <c r="K36" s="4"/>
      <c r="L36" s="4"/>
      <c r="M36" s="4"/>
      <c r="N36" s="4" t="s">
        <v>26</v>
      </c>
      <c r="O36" s="15">
        <f>SUM(F21:N21)</f>
        <v>305805</v>
      </c>
      <c r="P36" s="28"/>
    </row>
  </sheetData>
  <mergeCells count="3">
    <mergeCell ref="A4:B4"/>
    <mergeCell ref="A5:B5"/>
    <mergeCell ref="A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Cost Control</vt:lpstr>
      <vt:lpstr>Budget Forcasting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Marek Mroz</cp:lastModifiedBy>
  <cp:revision/>
  <dcterms:created xsi:type="dcterms:W3CDTF">2023-02-01T09:45:06Z</dcterms:created>
  <dcterms:modified xsi:type="dcterms:W3CDTF">2025-11-26T16:09:53Z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612a5d-858c-47c0-96d3-92955940fe19_Enabled">
    <vt:lpwstr>true</vt:lpwstr>
  </property>
  <property fmtid="{D5CDD505-2E9C-101B-9397-08002B2CF9AE}" pid="3" name="MSIP_Label_5a612a5d-858c-47c0-96d3-92955940fe19_SetDate">
    <vt:lpwstr>2025-10-22T07:14:18Z</vt:lpwstr>
  </property>
  <property fmtid="{D5CDD505-2E9C-101B-9397-08002B2CF9AE}" pid="4" name="MSIP_Label_5a612a5d-858c-47c0-96d3-92955940fe19_Method">
    <vt:lpwstr>Privileged</vt:lpwstr>
  </property>
  <property fmtid="{D5CDD505-2E9C-101B-9397-08002B2CF9AE}" pid="5" name="MSIP_Label_5a612a5d-858c-47c0-96d3-92955940fe19_Name">
    <vt:lpwstr>Public (without marking)</vt:lpwstr>
  </property>
  <property fmtid="{D5CDD505-2E9C-101B-9397-08002B2CF9AE}" pid="6" name="MSIP_Label_5a612a5d-858c-47c0-96d3-92955940fe19_SiteId">
    <vt:lpwstr>e21ebe2c-3b5b-4d4c-8d0e-c1ca0e8ea14b</vt:lpwstr>
  </property>
  <property fmtid="{D5CDD505-2E9C-101B-9397-08002B2CF9AE}" pid="7" name="MSIP_Label_5a612a5d-858c-47c0-96d3-92955940fe19_ActionId">
    <vt:lpwstr>a3763ecb-afad-4230-8b92-b14839a1b8d2</vt:lpwstr>
  </property>
  <property fmtid="{D5CDD505-2E9C-101B-9397-08002B2CF9AE}" pid="8" name="MSIP_Label_5a612a5d-858c-47c0-96d3-92955940fe19_ContentBits">
    <vt:lpwstr>0</vt:lpwstr>
  </property>
  <property fmtid="{D5CDD505-2E9C-101B-9397-08002B2CF9AE}" pid="9" name="MSIP_Label_5a612a5d-858c-47c0-96d3-92955940fe19_Tag">
    <vt:lpwstr>50, 0, 1, 1</vt:lpwstr>
  </property>
</Properties>
</file>