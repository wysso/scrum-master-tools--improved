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flightio-my.sharepoint.com/personal/marek_mroz_cloudflight_io/Documents/APIM/"/>
    </mc:Choice>
  </mc:AlternateContent>
  <xr:revisionPtr revIDLastSave="3980" documentId="13_ncr:1_{0C6615F6-A6DE-0E4A-B37C-756B0267CDB2}" xr6:coauthVersionLast="47" xr6:coauthVersionMax="47" xr10:uidLastSave="{A2A64107-5B08-4120-B0AF-1B36824E8751}"/>
  <bookViews>
    <workbookView xWindow="-18640" yWindow="-28120" windowWidth="46220" windowHeight="28120" firstSheet="1" activeTab="1" xr2:uid="{26299DD1-9E39-104F-831F-15947FD537E8}"/>
  </bookViews>
  <sheets>
    <sheet name="Summary" sheetId="8" r:id="rId1"/>
    <sheet name="Results" sheetId="1" r:id="rId2"/>
    <sheet name="Model" sheetId="3" state="hidden" r:id="rId3"/>
    <sheet name="Model Kar - Darft" sheetId="9" state="hidden" r:id="rId4"/>
    <sheet name="Sheet2" sheetId="11" state="hidden" r:id="rId5"/>
    <sheet name="archives" sheetId="10" state="hidden" r:id="rId6"/>
    <sheet name="Sheet1MM" sheetId="12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204" i="3"/>
  <c r="D205" i="3"/>
  <c r="B203" i="3"/>
  <c r="C203" i="3"/>
  <c r="D203" i="3"/>
  <c r="A203" i="3"/>
  <c r="D77" i="3"/>
  <c r="A77" i="3"/>
  <c r="D172" i="3"/>
  <c r="A172" i="3"/>
  <c r="D110" i="3"/>
  <c r="A110" i="3"/>
  <c r="D44" i="3"/>
  <c r="A44" i="3"/>
  <c r="G217" i="1" l="1"/>
  <c r="F217" i="1"/>
  <c r="E217" i="1"/>
  <c r="D217" i="1"/>
  <c r="C217" i="1"/>
  <c r="B217" i="1"/>
  <c r="G207" i="1"/>
  <c r="F207" i="1"/>
  <c r="E207" i="1"/>
  <c r="D207" i="1"/>
  <c r="C207" i="1"/>
  <c r="B207" i="1"/>
  <c r="G170" i="3"/>
  <c r="D212" i="1" s="1"/>
  <c r="G171" i="3"/>
  <c r="D222" i="1" s="1"/>
  <c r="I170" i="3"/>
  <c r="E212" i="1" s="1"/>
  <c r="I171" i="3"/>
  <c r="E222" i="1" s="1"/>
  <c r="D170" i="3"/>
  <c r="B212" i="1" s="1"/>
  <c r="D171" i="3"/>
  <c r="B222" i="1" s="1"/>
  <c r="I108" i="3"/>
  <c r="E210" i="1" s="1"/>
  <c r="I109" i="3"/>
  <c r="E220" i="1" s="1"/>
  <c r="G108" i="3"/>
  <c r="D210" i="1" s="1"/>
  <c r="G109" i="3"/>
  <c r="D220" i="1" s="1"/>
  <c r="D108" i="3"/>
  <c r="B210" i="1" s="1"/>
  <c r="D109" i="3"/>
  <c r="B220" i="1" s="1"/>
  <c r="I75" i="3"/>
  <c r="E211" i="1" s="1"/>
  <c r="I76" i="3"/>
  <c r="E221" i="1" s="1"/>
  <c r="G75" i="3"/>
  <c r="D211" i="1" s="1"/>
  <c r="G76" i="3"/>
  <c r="D221" i="1" s="1"/>
  <c r="D75" i="3"/>
  <c r="B211" i="1" s="1"/>
  <c r="D76" i="3"/>
  <c r="B221" i="1" s="1"/>
  <c r="D202" i="3"/>
  <c r="C202" i="3"/>
  <c r="B202" i="3"/>
  <c r="E171" i="3" s="1"/>
  <c r="C222" i="1" s="1"/>
  <c r="D43" i="3"/>
  <c r="I42" i="3"/>
  <c r="E209" i="1" s="1"/>
  <c r="I43" i="3"/>
  <c r="E219" i="1" s="1"/>
  <c r="G42" i="3"/>
  <c r="D209" i="1" s="1"/>
  <c r="G43" i="3"/>
  <c r="D219" i="1" s="1"/>
  <c r="D42" i="3"/>
  <c r="B209" i="1" s="1"/>
  <c r="A171" i="3"/>
  <c r="A109" i="3"/>
  <c r="A76" i="3"/>
  <c r="A43" i="3"/>
  <c r="A202" i="3"/>
  <c r="A170" i="3"/>
  <c r="A108" i="3"/>
  <c r="A75" i="3"/>
  <c r="A42" i="3"/>
  <c r="B201" i="3"/>
  <c r="E108" i="3" s="1"/>
  <c r="C210" i="1" s="1"/>
  <c r="C201" i="3"/>
  <c r="D201" i="3"/>
  <c r="A201" i="3"/>
  <c r="G197" i="1"/>
  <c r="F197" i="1"/>
  <c r="E197" i="1"/>
  <c r="D197" i="1"/>
  <c r="C197" i="1"/>
  <c r="B197" i="1"/>
  <c r="E43" i="3" l="1"/>
  <c r="C219" i="1" s="1"/>
  <c r="E75" i="3"/>
  <c r="C211" i="1" s="1"/>
  <c r="H210" i="1"/>
  <c r="D261" i="1" s="1"/>
  <c r="E170" i="3"/>
  <c r="C212" i="1" s="1"/>
  <c r="E42" i="3"/>
  <c r="C209" i="1" s="1"/>
  <c r="H209" i="1" s="1"/>
  <c r="C261" i="1" s="1"/>
  <c r="H211" i="1"/>
  <c r="E261" i="1" s="1"/>
  <c r="H222" i="1"/>
  <c r="G262" i="1" s="1"/>
  <c r="H212" i="1"/>
  <c r="G261" i="1" s="1"/>
  <c r="B219" i="1"/>
  <c r="H219" i="1" s="1"/>
  <c r="C262" i="1" s="1"/>
  <c r="E76" i="3"/>
  <c r="E109" i="3"/>
  <c r="I169" i="3"/>
  <c r="E202" i="1" s="1"/>
  <c r="I107" i="3"/>
  <c r="E200" i="1" s="1"/>
  <c r="I74" i="3"/>
  <c r="E201" i="1" s="1"/>
  <c r="I41" i="3"/>
  <c r="E199" i="1" s="1"/>
  <c r="G169" i="3"/>
  <c r="D202" i="1" s="1"/>
  <c r="G107" i="3"/>
  <c r="D200" i="1" s="1"/>
  <c r="G74" i="3"/>
  <c r="D201" i="1" s="1"/>
  <c r="G41" i="3"/>
  <c r="D199" i="1" s="1"/>
  <c r="C220" i="1" l="1"/>
  <c r="H220" i="1" s="1"/>
  <c r="D262" i="1" s="1"/>
  <c r="C221" i="1"/>
  <c r="H221" i="1" s="1"/>
  <c r="E262" i="1" s="1"/>
  <c r="B200" i="3"/>
  <c r="C200" i="3"/>
  <c r="D200" i="3"/>
  <c r="A200" i="3"/>
  <c r="D169" i="3"/>
  <c r="B202" i="1" s="1"/>
  <c r="D107" i="3"/>
  <c r="B200" i="1" s="1"/>
  <c r="D74" i="3"/>
  <c r="B201" i="1" s="1"/>
  <c r="D41" i="3"/>
  <c r="B199" i="1" s="1"/>
  <c r="A169" i="3"/>
  <c r="A140" i="3"/>
  <c r="A107" i="3"/>
  <c r="A74" i="3"/>
  <c r="A41" i="3"/>
  <c r="G187" i="1"/>
  <c r="F187" i="1"/>
  <c r="E187" i="1"/>
  <c r="D187" i="1"/>
  <c r="C187" i="1"/>
  <c r="B187" i="1"/>
  <c r="G177" i="1"/>
  <c r="F177" i="1"/>
  <c r="E177" i="1"/>
  <c r="D177" i="1"/>
  <c r="C177" i="1"/>
  <c r="B177" i="1"/>
  <c r="D199" i="3"/>
  <c r="C199" i="3"/>
  <c r="B199" i="3"/>
  <c r="E40" i="3" s="1"/>
  <c r="C189" i="1" s="1"/>
  <c r="I167" i="3"/>
  <c r="E182" i="1" s="1"/>
  <c r="I168" i="3"/>
  <c r="G167" i="3"/>
  <c r="D182" i="1" s="1"/>
  <c r="G168" i="3"/>
  <c r="D167" i="3"/>
  <c r="B182" i="1" s="1"/>
  <c r="D168" i="3"/>
  <c r="B192" i="1" s="1"/>
  <c r="I105" i="3"/>
  <c r="E180" i="1" s="1"/>
  <c r="I106" i="3"/>
  <c r="E190" i="1" s="1"/>
  <c r="G105" i="3"/>
  <c r="D180" i="1" s="1"/>
  <c r="G106" i="3"/>
  <c r="D190" i="1" s="1"/>
  <c r="D105" i="3"/>
  <c r="B180" i="1" s="1"/>
  <c r="D106" i="3"/>
  <c r="B190" i="1" s="1"/>
  <c r="I72" i="3"/>
  <c r="E181" i="1" s="1"/>
  <c r="I73" i="3"/>
  <c r="E191" i="1" s="1"/>
  <c r="G72" i="3"/>
  <c r="D181" i="1" s="1"/>
  <c r="G73" i="3"/>
  <c r="D191" i="1" s="1"/>
  <c r="D72" i="3"/>
  <c r="B181" i="1" s="1"/>
  <c r="D73" i="3"/>
  <c r="B191" i="1" s="1"/>
  <c r="G39" i="3"/>
  <c r="D179" i="1" s="1"/>
  <c r="G40" i="3"/>
  <c r="D189" i="1" s="1"/>
  <c r="D40" i="3"/>
  <c r="B189" i="1" s="1"/>
  <c r="I39" i="3"/>
  <c r="E179" i="1" s="1"/>
  <c r="I40" i="3"/>
  <c r="E189" i="1" s="1"/>
  <c r="D39" i="3"/>
  <c r="B179" i="1" s="1"/>
  <c r="A168" i="3"/>
  <c r="A106" i="3"/>
  <c r="A40" i="3"/>
  <c r="A73" i="3"/>
  <c r="A199" i="3"/>
  <c r="D198" i="3"/>
  <c r="B198" i="3"/>
  <c r="E105" i="3" s="1"/>
  <c r="C180" i="1" s="1"/>
  <c r="C198" i="3"/>
  <c r="A198" i="3"/>
  <c r="B197" i="3"/>
  <c r="E104" i="3" s="1"/>
  <c r="C170" i="1" s="1"/>
  <c r="A39" i="3"/>
  <c r="A72" i="3"/>
  <c r="A105" i="3"/>
  <c r="A167" i="3"/>
  <c r="G5" i="3"/>
  <c r="B179" i="3"/>
  <c r="F3" i="1"/>
  <c r="G167" i="1"/>
  <c r="F167" i="1"/>
  <c r="E167" i="1"/>
  <c r="D167" i="1"/>
  <c r="C167" i="1"/>
  <c r="B167" i="1"/>
  <c r="G166" i="3"/>
  <c r="D172" i="1" s="1"/>
  <c r="I166" i="3"/>
  <c r="E172" i="1" s="1"/>
  <c r="I104" i="3"/>
  <c r="E170" i="1" s="1"/>
  <c r="I71" i="3"/>
  <c r="E171" i="1" s="1"/>
  <c r="I38" i="3"/>
  <c r="E169" i="1" s="1"/>
  <c r="G38" i="3"/>
  <c r="D169" i="1" s="1"/>
  <c r="G71" i="3"/>
  <c r="D171" i="1" s="1"/>
  <c r="G104" i="3"/>
  <c r="D170" i="1" s="1"/>
  <c r="D197" i="3"/>
  <c r="C197" i="3"/>
  <c r="D71" i="3"/>
  <c r="B171" i="1" s="1"/>
  <c r="D166" i="3"/>
  <c r="B172" i="1" s="1"/>
  <c r="D104" i="3"/>
  <c r="B170" i="1" s="1"/>
  <c r="D38" i="3"/>
  <c r="B169" i="1" s="1"/>
  <c r="A197" i="3"/>
  <c r="A38" i="3"/>
  <c r="A71" i="3"/>
  <c r="A104" i="3"/>
  <c r="A139" i="3"/>
  <c r="A166" i="3"/>
  <c r="A130" i="3"/>
  <c r="A131" i="3"/>
  <c r="A132" i="3"/>
  <c r="A133" i="3"/>
  <c r="A134" i="3"/>
  <c r="A135" i="3"/>
  <c r="A136" i="3"/>
  <c r="A137" i="3"/>
  <c r="A138" i="3"/>
  <c r="A129" i="3"/>
  <c r="D195" i="3"/>
  <c r="D192" i="1" l="1"/>
  <c r="E192" i="1"/>
  <c r="E169" i="3"/>
  <c r="C202" i="1" s="1"/>
  <c r="E107" i="3"/>
  <c r="C200" i="1" s="1"/>
  <c r="E74" i="3"/>
  <c r="C201" i="1" s="1"/>
  <c r="E41" i="3"/>
  <c r="C199" i="1" s="1"/>
  <c r="E39" i="3"/>
  <c r="C179" i="1" s="1"/>
  <c r="E72" i="3"/>
  <c r="C181" i="1" s="1"/>
  <c r="E167" i="3"/>
  <c r="C182" i="1" s="1"/>
  <c r="E166" i="3"/>
  <c r="C172" i="1" s="1"/>
  <c r="E73" i="3"/>
  <c r="C191" i="1" s="1"/>
  <c r="E106" i="3"/>
  <c r="C190" i="1" s="1"/>
  <c r="E168" i="3"/>
  <c r="C192" i="1" s="1"/>
  <c r="E38" i="3"/>
  <c r="C169" i="1" s="1"/>
  <c r="E71" i="3"/>
  <c r="C171" i="1" s="1"/>
  <c r="B165" i="3"/>
  <c r="D196" i="3" s="1"/>
  <c r="I165" i="3" l="1"/>
  <c r="G165" i="3"/>
  <c r="D165" i="3"/>
  <c r="B162" i="1" s="1"/>
  <c r="I103" i="3"/>
  <c r="G103" i="3"/>
  <c r="D103" i="3"/>
  <c r="I70" i="3"/>
  <c r="G70" i="3"/>
  <c r="D37" i="3"/>
  <c r="I37" i="3"/>
  <c r="G37" i="3"/>
  <c r="E159" i="1" l="1"/>
  <c r="D159" i="1"/>
  <c r="B159" i="1"/>
  <c r="E162" i="1"/>
  <c r="D162" i="1"/>
  <c r="E161" i="1"/>
  <c r="D161" i="1"/>
  <c r="E160" i="1"/>
  <c r="D160" i="1"/>
  <c r="B160" i="1"/>
  <c r="B196" i="3"/>
  <c r="E37" i="3" l="1"/>
  <c r="C159" i="1" s="1"/>
  <c r="E70" i="3"/>
  <c r="C161" i="1" s="1"/>
  <c r="E165" i="3"/>
  <c r="C162" i="1" s="1"/>
  <c r="E103" i="3"/>
  <c r="C160" i="1" s="1"/>
  <c r="I69" i="3" l="1"/>
  <c r="E152" i="1" s="1"/>
  <c r="G69" i="3"/>
  <c r="D152" i="1" s="1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B187" i="3"/>
  <c r="E28" i="3" s="1"/>
  <c r="B188" i="3"/>
  <c r="E29" i="3" s="1"/>
  <c r="B189" i="3"/>
  <c r="B190" i="3"/>
  <c r="B191" i="3"/>
  <c r="B192" i="3"/>
  <c r="B193" i="3"/>
  <c r="B194" i="3"/>
  <c r="B195" i="3"/>
  <c r="D70" i="3"/>
  <c r="B161" i="1" s="1"/>
  <c r="D69" i="3"/>
  <c r="B152" i="1" s="1"/>
  <c r="I102" i="3"/>
  <c r="E151" i="1" s="1"/>
  <c r="G102" i="3"/>
  <c r="D151" i="1" s="1"/>
  <c r="I164" i="3"/>
  <c r="E153" i="1" s="1"/>
  <c r="G164" i="3"/>
  <c r="D153" i="1" s="1"/>
  <c r="C196" i="3"/>
  <c r="C195" i="3"/>
  <c r="D164" i="3"/>
  <c r="B153" i="1" s="1"/>
  <c r="D102" i="3"/>
  <c r="B151" i="1" s="1"/>
  <c r="I36" i="3"/>
  <c r="E150" i="1" s="1"/>
  <c r="G36" i="3"/>
  <c r="D150" i="1" s="1"/>
  <c r="D36" i="3"/>
  <c r="B150" i="1" s="1"/>
  <c r="G157" i="1"/>
  <c r="F157" i="1"/>
  <c r="E157" i="1"/>
  <c r="D157" i="1"/>
  <c r="C157" i="1"/>
  <c r="B157" i="1"/>
  <c r="G148" i="1"/>
  <c r="F148" i="1"/>
  <c r="E148" i="1"/>
  <c r="D148" i="1"/>
  <c r="C148" i="1"/>
  <c r="B148" i="1"/>
  <c r="A196" i="3"/>
  <c r="A195" i="3"/>
  <c r="A165" i="3"/>
  <c r="A164" i="3"/>
  <c r="A103" i="3"/>
  <c r="A102" i="3"/>
  <c r="A70" i="3"/>
  <c r="A69" i="3"/>
  <c r="A37" i="3"/>
  <c r="A36" i="3"/>
  <c r="G139" i="1"/>
  <c r="F139" i="1"/>
  <c r="E139" i="1"/>
  <c r="D139" i="1"/>
  <c r="C139" i="1"/>
  <c r="B139" i="1"/>
  <c r="D68" i="3"/>
  <c r="B143" i="1" s="1"/>
  <c r="I101" i="3"/>
  <c r="E142" i="1" s="1"/>
  <c r="G100" i="3"/>
  <c r="G101" i="3"/>
  <c r="D142" i="1" s="1"/>
  <c r="G66" i="3"/>
  <c r="G67" i="3"/>
  <c r="G68" i="3"/>
  <c r="D143" i="1" s="1"/>
  <c r="I35" i="3"/>
  <c r="E141" i="1" s="1"/>
  <c r="E164" i="3" l="1"/>
  <c r="C153" i="1" s="1"/>
  <c r="E102" i="3"/>
  <c r="C151" i="1" s="1"/>
  <c r="E36" i="3"/>
  <c r="C150" i="1" s="1"/>
  <c r="E163" i="3"/>
  <c r="E101" i="3"/>
  <c r="E35" i="3"/>
  <c r="C141" i="1" s="1"/>
  <c r="E162" i="3"/>
  <c r="E100" i="3"/>
  <c r="E34" i="3"/>
  <c r="E33" i="3"/>
  <c r="E161" i="3"/>
  <c r="E99" i="3"/>
  <c r="E98" i="3"/>
  <c r="E32" i="3"/>
  <c r="E160" i="3"/>
  <c r="E97" i="3"/>
  <c r="E31" i="3"/>
  <c r="E96" i="3"/>
  <c r="E30" i="3"/>
  <c r="E69" i="3"/>
  <c r="C152" i="1" s="1"/>
  <c r="G35" i="3"/>
  <c r="D141" i="1" s="1"/>
  <c r="I163" i="3"/>
  <c r="E144" i="1" s="1"/>
  <c r="G163" i="3"/>
  <c r="D144" i="1" s="1"/>
  <c r="D163" i="3"/>
  <c r="D101" i="3"/>
  <c r="I68" i="3"/>
  <c r="E143" i="1" s="1"/>
  <c r="D35" i="3"/>
  <c r="B141" i="1" s="1"/>
  <c r="A194" i="3"/>
  <c r="A163" i="3"/>
  <c r="A101" i="3"/>
  <c r="A68" i="3"/>
  <c r="A35" i="3"/>
  <c r="C194" i="3"/>
  <c r="D134" i="1"/>
  <c r="D133" i="1"/>
  <c r="G130" i="1"/>
  <c r="F130" i="1"/>
  <c r="E130" i="1"/>
  <c r="D130" i="1"/>
  <c r="C130" i="1"/>
  <c r="B130" i="1"/>
  <c r="B211" i="3"/>
  <c r="C193" i="3"/>
  <c r="A193" i="3"/>
  <c r="I162" i="3"/>
  <c r="E135" i="1" s="1"/>
  <c r="G162" i="3"/>
  <c r="D135" i="1" s="1"/>
  <c r="D162" i="3"/>
  <c r="B135" i="1" s="1"/>
  <c r="I100" i="3"/>
  <c r="E133" i="1" s="1"/>
  <c r="D100" i="3"/>
  <c r="B133" i="1" s="1"/>
  <c r="I67" i="3"/>
  <c r="E134" i="1" s="1"/>
  <c r="D67" i="3"/>
  <c r="B134" i="1" s="1"/>
  <c r="I34" i="3"/>
  <c r="G34" i="3"/>
  <c r="D34" i="3"/>
  <c r="B132" i="1" s="1"/>
  <c r="A100" i="3"/>
  <c r="A67" i="3"/>
  <c r="A34" i="3"/>
  <c r="A162" i="3"/>
  <c r="G161" i="3"/>
  <c r="D126" i="1" s="1"/>
  <c r="D124" i="1"/>
  <c r="D125" i="1"/>
  <c r="G121" i="1"/>
  <c r="F121" i="1"/>
  <c r="E121" i="1"/>
  <c r="D121" i="1"/>
  <c r="C121" i="1"/>
  <c r="B121" i="1"/>
  <c r="I99" i="3"/>
  <c r="E124" i="1" s="1"/>
  <c r="C191" i="3"/>
  <c r="I65" i="3"/>
  <c r="G65" i="3"/>
  <c r="D65" i="3"/>
  <c r="I66" i="3"/>
  <c r="E125" i="1" s="1"/>
  <c r="I33" i="3"/>
  <c r="E123" i="1" s="1"/>
  <c r="G33" i="3"/>
  <c r="D123" i="1" s="1"/>
  <c r="E175" i="3" l="1"/>
  <c r="E113" i="3"/>
  <c r="E67" i="3"/>
  <c r="C134" i="1" s="1"/>
  <c r="C142" i="1"/>
  <c r="C124" i="1"/>
  <c r="B144" i="1"/>
  <c r="E132" i="1"/>
  <c r="B142" i="1"/>
  <c r="D132" i="1"/>
  <c r="C144" i="1"/>
  <c r="E68" i="3"/>
  <c r="C143" i="1" s="1"/>
  <c r="C135" i="1"/>
  <c r="I161" i="3"/>
  <c r="E126" i="1" s="1"/>
  <c r="C123" i="1"/>
  <c r="E65" i="3"/>
  <c r="C192" i="3"/>
  <c r="A191" i="3"/>
  <c r="A192" i="3"/>
  <c r="D161" i="3"/>
  <c r="D99" i="3"/>
  <c r="B124" i="1" s="1"/>
  <c r="D66" i="3"/>
  <c r="B125" i="1" s="1"/>
  <c r="D33" i="3"/>
  <c r="B123" i="1" s="1"/>
  <c r="A159" i="3"/>
  <c r="A160" i="3"/>
  <c r="A161" i="3"/>
  <c r="A158" i="3"/>
  <c r="A32" i="3"/>
  <c r="A33" i="3"/>
  <c r="A65" i="3"/>
  <c r="A66" i="3"/>
  <c r="A98" i="3"/>
  <c r="A99" i="3"/>
  <c r="G112" i="1"/>
  <c r="F112" i="1"/>
  <c r="E112" i="1"/>
  <c r="D112" i="1"/>
  <c r="C112" i="1"/>
  <c r="B112" i="1"/>
  <c r="G160" i="3"/>
  <c r="G175" i="3" s="1"/>
  <c r="I160" i="3"/>
  <c r="I175" i="3" s="1"/>
  <c r="I98" i="3"/>
  <c r="E115" i="1" s="1"/>
  <c r="G98" i="3"/>
  <c r="D115" i="1" s="1"/>
  <c r="E116" i="1"/>
  <c r="D116" i="1"/>
  <c r="I32" i="3"/>
  <c r="G32" i="3"/>
  <c r="E210" i="3" l="1"/>
  <c r="C133" i="1"/>
  <c r="E66" i="3"/>
  <c r="C125" i="1" s="1"/>
  <c r="C132" i="1"/>
  <c r="D117" i="1"/>
  <c r="D210" i="3"/>
  <c r="B126" i="1"/>
  <c r="D114" i="1"/>
  <c r="E114" i="1"/>
  <c r="E117" i="1"/>
  <c r="B116" i="1"/>
  <c r="C115" i="1"/>
  <c r="D160" i="3"/>
  <c r="D175" i="3" s="1"/>
  <c r="D98" i="3"/>
  <c r="B115" i="1" s="1"/>
  <c r="D32" i="3"/>
  <c r="B114" i="1" s="1"/>
  <c r="F31" i="3"/>
  <c r="B210" i="3" l="1"/>
  <c r="C126" i="1"/>
  <c r="B117" i="1"/>
  <c r="C116" i="1"/>
  <c r="G102" i="1"/>
  <c r="F102" i="1"/>
  <c r="E102" i="1"/>
  <c r="D102" i="1"/>
  <c r="C102" i="1"/>
  <c r="B102" i="1"/>
  <c r="F97" i="3"/>
  <c r="F64" i="3"/>
  <c r="G130" i="3"/>
  <c r="D107" i="1" s="1"/>
  <c r="D130" i="3"/>
  <c r="C190" i="3"/>
  <c r="C104" i="1"/>
  <c r="A190" i="3"/>
  <c r="D97" i="3"/>
  <c r="B105" i="1" s="1"/>
  <c r="D64" i="3"/>
  <c r="D80" i="3" s="1"/>
  <c r="D47" i="3"/>
  <c r="A97" i="3"/>
  <c r="A64" i="3"/>
  <c r="A31" i="3"/>
  <c r="B104" i="1" l="1"/>
  <c r="B106" i="1"/>
  <c r="C210" i="3"/>
  <c r="C114" i="1"/>
  <c r="G64" i="3"/>
  <c r="G80" i="3" s="1"/>
  <c r="C117" i="1"/>
  <c r="G97" i="3"/>
  <c r="D105" i="1" s="1"/>
  <c r="I97" i="3"/>
  <c r="E105" i="1" s="1"/>
  <c r="I64" i="3"/>
  <c r="E106" i="1" s="1"/>
  <c r="B107" i="1"/>
  <c r="I31" i="3"/>
  <c r="G31" i="3"/>
  <c r="G47" i="3" s="1"/>
  <c r="C105" i="1"/>
  <c r="E130" i="3"/>
  <c r="C107" i="1" s="1"/>
  <c r="E64" i="3"/>
  <c r="C106" i="1" s="1"/>
  <c r="G93" i="1"/>
  <c r="F93" i="1"/>
  <c r="E93" i="1"/>
  <c r="D93" i="1"/>
  <c r="C93" i="1"/>
  <c r="B93" i="1"/>
  <c r="C189" i="3"/>
  <c r="I129" i="3"/>
  <c r="E98" i="1" s="1"/>
  <c r="I30" i="3"/>
  <c r="E95" i="1" s="1"/>
  <c r="I13" i="3"/>
  <c r="E94" i="1" s="1"/>
  <c r="D106" i="1" l="1"/>
  <c r="D104" i="1"/>
  <c r="E104" i="1"/>
  <c r="G129" i="3"/>
  <c r="D98" i="1" s="1"/>
  <c r="G13" i="3"/>
  <c r="D94" i="1" s="1"/>
  <c r="E129" i="3"/>
  <c r="C98" i="1" s="1"/>
  <c r="D129" i="3"/>
  <c r="B98" i="1" s="1"/>
  <c r="E63" i="3"/>
  <c r="C97" i="1" s="1"/>
  <c r="C95" i="1"/>
  <c r="E13" i="3"/>
  <c r="C94" i="1" s="1"/>
  <c r="I96" i="3"/>
  <c r="I113" i="3" s="1"/>
  <c r="G96" i="3"/>
  <c r="G113" i="3" s="1"/>
  <c r="D96" i="3"/>
  <c r="D113" i="3" s="1"/>
  <c r="I63" i="3"/>
  <c r="E97" i="1" s="1"/>
  <c r="D13" i="3"/>
  <c r="A189" i="3"/>
  <c r="A96" i="3"/>
  <c r="A63" i="3"/>
  <c r="A30" i="3"/>
  <c r="A13" i="3"/>
  <c r="B208" i="3" l="1"/>
  <c r="D95" i="1"/>
  <c r="D207" i="3"/>
  <c r="D97" i="1"/>
  <c r="B96" i="1"/>
  <c r="C96" i="1"/>
  <c r="E96" i="1"/>
  <c r="D96" i="1"/>
  <c r="B94" i="1"/>
  <c r="B95" i="1"/>
  <c r="B97" i="1"/>
  <c r="D87" i="1" l="1"/>
  <c r="C87" i="1"/>
  <c r="B87" i="1"/>
  <c r="G84" i="1"/>
  <c r="F84" i="1"/>
  <c r="E84" i="1"/>
  <c r="D84" i="1"/>
  <c r="C84" i="1"/>
  <c r="B84" i="1"/>
  <c r="G12" i="3"/>
  <c r="D85" i="1" s="1"/>
  <c r="D12" i="3"/>
  <c r="B85" i="1" s="1"/>
  <c r="I62" i="3" l="1"/>
  <c r="D86" i="1"/>
  <c r="C188" i="3"/>
  <c r="I128" i="3"/>
  <c r="G128" i="3"/>
  <c r="D89" i="1" s="1"/>
  <c r="D128" i="3"/>
  <c r="B89" i="1" s="1"/>
  <c r="B86" i="1"/>
  <c r="I12" i="3"/>
  <c r="I11" i="3"/>
  <c r="E76" i="1" s="1"/>
  <c r="G11" i="3"/>
  <c r="D76" i="1" s="1"/>
  <c r="I28" i="3"/>
  <c r="E77" i="1" s="1"/>
  <c r="D77" i="1"/>
  <c r="I61" i="3"/>
  <c r="E79" i="1" s="1"/>
  <c r="D79" i="1"/>
  <c r="E78" i="1"/>
  <c r="D78" i="1"/>
  <c r="I127" i="3"/>
  <c r="G127" i="3"/>
  <c r="B79" i="1"/>
  <c r="B77" i="1"/>
  <c r="D11" i="3"/>
  <c r="B76" i="1" s="1"/>
  <c r="G75" i="1"/>
  <c r="F75" i="1"/>
  <c r="E75" i="1"/>
  <c r="D75" i="1"/>
  <c r="C75" i="1"/>
  <c r="B75" i="1"/>
  <c r="G66" i="1"/>
  <c r="F66" i="1"/>
  <c r="E66" i="1"/>
  <c r="D66" i="1"/>
  <c r="C66" i="1"/>
  <c r="B66" i="1"/>
  <c r="G57" i="1"/>
  <c r="F57" i="1"/>
  <c r="E57" i="1"/>
  <c r="D57" i="1"/>
  <c r="C57" i="1"/>
  <c r="B57" i="1"/>
  <c r="I120" i="3"/>
  <c r="I121" i="3"/>
  <c r="I122" i="3"/>
  <c r="I123" i="3"/>
  <c r="I124" i="3"/>
  <c r="I125" i="3"/>
  <c r="E62" i="1" s="1"/>
  <c r="I126" i="3"/>
  <c r="E71" i="1" s="1"/>
  <c r="I119" i="3"/>
  <c r="E51" i="1"/>
  <c r="E60" i="1"/>
  <c r="E69" i="1"/>
  <c r="I54" i="3"/>
  <c r="I55" i="3"/>
  <c r="I56" i="3"/>
  <c r="I57" i="3"/>
  <c r="I58" i="3"/>
  <c r="E52" i="1" s="1"/>
  <c r="I59" i="3"/>
  <c r="E61" i="1" s="1"/>
  <c r="I60" i="3"/>
  <c r="I53" i="3"/>
  <c r="I21" i="3"/>
  <c r="I22" i="3"/>
  <c r="I23" i="3"/>
  <c r="I24" i="3"/>
  <c r="I25" i="3"/>
  <c r="E50" i="1" s="1"/>
  <c r="I26" i="3"/>
  <c r="E59" i="1" s="1"/>
  <c r="I27" i="3"/>
  <c r="E68" i="1" s="1"/>
  <c r="I20" i="3"/>
  <c r="I4" i="3"/>
  <c r="I5" i="3"/>
  <c r="I6" i="3"/>
  <c r="I7" i="3"/>
  <c r="I8" i="3"/>
  <c r="E49" i="1" s="1"/>
  <c r="I9" i="3"/>
  <c r="E58" i="1" s="1"/>
  <c r="I10" i="3"/>
  <c r="E67" i="1" s="1"/>
  <c r="I3" i="3"/>
  <c r="E4" i="1" s="1"/>
  <c r="G10" i="3"/>
  <c r="D67" i="1" s="1"/>
  <c r="D68" i="1"/>
  <c r="D69" i="1"/>
  <c r="G126" i="3"/>
  <c r="D71" i="1" s="1"/>
  <c r="D61" i="1"/>
  <c r="D59" i="1"/>
  <c r="G9" i="3"/>
  <c r="D58" i="1" s="1"/>
  <c r="D60" i="1"/>
  <c r="G125" i="3"/>
  <c r="D62" i="1" s="1"/>
  <c r="D180" i="3"/>
  <c r="D179" i="3"/>
  <c r="C180" i="3"/>
  <c r="C181" i="3"/>
  <c r="C182" i="3"/>
  <c r="C183" i="3"/>
  <c r="C184" i="3"/>
  <c r="C185" i="3"/>
  <c r="C186" i="3"/>
  <c r="C187" i="3"/>
  <c r="C179" i="3"/>
  <c r="E11" i="3"/>
  <c r="C76" i="1" s="1"/>
  <c r="B185" i="3"/>
  <c r="B186" i="3"/>
  <c r="B60" i="1"/>
  <c r="B69" i="1"/>
  <c r="B78" i="1"/>
  <c r="D125" i="3"/>
  <c r="B62" i="1" s="1"/>
  <c r="D126" i="3"/>
  <c r="B71" i="1" s="1"/>
  <c r="D127" i="3"/>
  <c r="B70" i="1"/>
  <c r="B61" i="1"/>
  <c r="B68" i="1"/>
  <c r="D9" i="3"/>
  <c r="B58" i="1" s="1"/>
  <c r="D10" i="3"/>
  <c r="B67" i="1" s="1"/>
  <c r="B59" i="1"/>
  <c r="G8" i="3"/>
  <c r="D49" i="1" s="1"/>
  <c r="J5" i="9"/>
  <c r="G3" i="3"/>
  <c r="D4" i="1" s="1"/>
  <c r="D52" i="1"/>
  <c r="D50" i="1"/>
  <c r="D51" i="1"/>
  <c r="G124" i="3"/>
  <c r="D53" i="1" s="1"/>
  <c r="B184" i="3"/>
  <c r="D124" i="3"/>
  <c r="B53" i="1" s="1"/>
  <c r="B51" i="1"/>
  <c r="B52" i="1"/>
  <c r="B50" i="1"/>
  <c r="D8" i="3"/>
  <c r="B49" i="1" s="1"/>
  <c r="G48" i="1"/>
  <c r="F48" i="1"/>
  <c r="E48" i="1"/>
  <c r="D48" i="1"/>
  <c r="C48" i="1"/>
  <c r="B48" i="1"/>
  <c r="I80" i="3" l="1"/>
  <c r="E27" i="3"/>
  <c r="C68" i="1" s="1"/>
  <c r="C60" i="1"/>
  <c r="E26" i="3"/>
  <c r="C59" i="1" s="1"/>
  <c r="B80" i="1"/>
  <c r="D80" i="1"/>
  <c r="B88" i="1"/>
  <c r="E80" i="1"/>
  <c r="D70" i="1"/>
  <c r="E70" i="1"/>
  <c r="E128" i="3"/>
  <c r="C89" i="1" s="1"/>
  <c r="E62" i="3"/>
  <c r="C88" i="1" s="1"/>
  <c r="C86" i="1"/>
  <c r="E12" i="3"/>
  <c r="C85" i="1" s="1"/>
  <c r="E89" i="1"/>
  <c r="E87" i="1"/>
  <c r="E88" i="1"/>
  <c r="E85" i="1"/>
  <c r="D88" i="1"/>
  <c r="I29" i="3"/>
  <c r="I47" i="3" s="1"/>
  <c r="E125" i="3"/>
  <c r="C62" i="1" s="1"/>
  <c r="E126" i="3"/>
  <c r="C71" i="1" s="1"/>
  <c r="C77" i="1"/>
  <c r="E61" i="3"/>
  <c r="C79" i="1" s="1"/>
  <c r="E60" i="3"/>
  <c r="C78" i="1"/>
  <c r="E59" i="3"/>
  <c r="C61" i="1" s="1"/>
  <c r="E127" i="3"/>
  <c r="E10" i="3"/>
  <c r="C67" i="1" s="1"/>
  <c r="E9" i="3"/>
  <c r="C58" i="1" s="1"/>
  <c r="C69" i="1"/>
  <c r="E124" i="3"/>
  <c r="C53" i="1" s="1"/>
  <c r="C51" i="1"/>
  <c r="E58" i="3"/>
  <c r="C52" i="1" s="1"/>
  <c r="E25" i="3"/>
  <c r="C50" i="1" s="1"/>
  <c r="E8" i="3"/>
  <c r="C49" i="1" s="1"/>
  <c r="E53" i="1"/>
  <c r="E41" i="1"/>
  <c r="D41" i="1"/>
  <c r="B41" i="1"/>
  <c r="E44" i="1"/>
  <c r="G123" i="3"/>
  <c r="D44" i="1" s="1"/>
  <c r="D123" i="3"/>
  <c r="B44" i="1" s="1"/>
  <c r="G39" i="1"/>
  <c r="F39" i="1"/>
  <c r="E39" i="1"/>
  <c r="D39" i="1"/>
  <c r="C39" i="1"/>
  <c r="B39" i="1"/>
  <c r="B42" i="1"/>
  <c r="D43" i="1"/>
  <c r="B43" i="1"/>
  <c r="B183" i="3"/>
  <c r="G7" i="3"/>
  <c r="D40" i="1" s="1"/>
  <c r="D7" i="3"/>
  <c r="B40" i="1" s="1"/>
  <c r="B180" i="3"/>
  <c r="E54" i="3" s="1"/>
  <c r="G30" i="1"/>
  <c r="G21" i="1"/>
  <c r="G12" i="1"/>
  <c r="G3" i="1"/>
  <c r="F30" i="1"/>
  <c r="F21" i="1"/>
  <c r="F12" i="1"/>
  <c r="E30" i="1"/>
  <c r="E21" i="1"/>
  <c r="E12" i="1"/>
  <c r="E3" i="1"/>
  <c r="D30" i="1"/>
  <c r="D21" i="1"/>
  <c r="D12" i="1"/>
  <c r="D3" i="1"/>
  <c r="C30" i="1"/>
  <c r="C21" i="1"/>
  <c r="C12" i="1"/>
  <c r="C3" i="1"/>
  <c r="B30" i="1"/>
  <c r="B21" i="1"/>
  <c r="B12" i="1"/>
  <c r="B3" i="1"/>
  <c r="B181" i="3"/>
  <c r="B182" i="3"/>
  <c r="E7" i="1"/>
  <c r="E35" i="1"/>
  <c r="E6" i="1"/>
  <c r="G120" i="3"/>
  <c r="G121" i="3"/>
  <c r="G122" i="3"/>
  <c r="D35" i="1" s="1"/>
  <c r="D33" i="1"/>
  <c r="D34" i="1"/>
  <c r="D32" i="1"/>
  <c r="G4" i="3"/>
  <c r="D22" i="1"/>
  <c r="G6" i="3"/>
  <c r="D31" i="1" s="1"/>
  <c r="G119" i="3"/>
  <c r="B34" i="1"/>
  <c r="D122" i="3"/>
  <c r="B35" i="1" s="1"/>
  <c r="D121" i="3"/>
  <c r="D120" i="3"/>
  <c r="D119" i="3"/>
  <c r="B33" i="1"/>
  <c r="B32" i="1"/>
  <c r="D4" i="3"/>
  <c r="B13" i="1" s="1"/>
  <c r="D5" i="3"/>
  <c r="B22" i="1" s="1"/>
  <c r="D6" i="3"/>
  <c r="B31" i="1" s="1"/>
  <c r="D3" i="3"/>
  <c r="H199" i="1" l="1"/>
  <c r="C260" i="1" s="1"/>
  <c r="H201" i="1"/>
  <c r="E260" i="1" s="1"/>
  <c r="H200" i="1"/>
  <c r="D260" i="1" s="1"/>
  <c r="H202" i="1"/>
  <c r="G260" i="1" s="1"/>
  <c r="H189" i="1"/>
  <c r="C259" i="1" s="1"/>
  <c r="H180" i="1"/>
  <c r="D258" i="1" s="1"/>
  <c r="H190" i="1"/>
  <c r="D259" i="1" s="1"/>
  <c r="H182" i="1"/>
  <c r="G258" i="1" s="1"/>
  <c r="H181" i="1"/>
  <c r="E258" i="1" s="1"/>
  <c r="H191" i="1"/>
  <c r="E259" i="1" s="1"/>
  <c r="H192" i="1"/>
  <c r="G259" i="1" s="1"/>
  <c r="H179" i="1"/>
  <c r="C258" i="1" s="1"/>
  <c r="H172" i="1"/>
  <c r="G257" i="1" s="1"/>
  <c r="H170" i="1"/>
  <c r="D257" i="1" s="1"/>
  <c r="H169" i="1"/>
  <c r="C257" i="1" s="1"/>
  <c r="H171" i="1"/>
  <c r="E257" i="1" s="1"/>
  <c r="B209" i="3"/>
  <c r="B207" i="3"/>
  <c r="D209" i="3"/>
  <c r="C70" i="1"/>
  <c r="H70" i="1" s="1"/>
  <c r="C80" i="1"/>
  <c r="H80" i="1" s="1"/>
  <c r="F247" i="1" s="1"/>
  <c r="H160" i="1"/>
  <c r="D256" i="1" s="1"/>
  <c r="H162" i="1"/>
  <c r="G256" i="1" s="1"/>
  <c r="H161" i="1"/>
  <c r="E256" i="1" s="1"/>
  <c r="H153" i="1"/>
  <c r="G255" i="1" s="1"/>
  <c r="H150" i="1"/>
  <c r="C255" i="1" s="1"/>
  <c r="H151" i="1"/>
  <c r="D255" i="1" s="1"/>
  <c r="H152" i="1"/>
  <c r="E255" i="1" s="1"/>
  <c r="H144" i="1"/>
  <c r="G254" i="1" s="1"/>
  <c r="H141" i="1"/>
  <c r="C254" i="1" s="1"/>
  <c r="H143" i="1"/>
  <c r="E254" i="1" s="1"/>
  <c r="H142" i="1"/>
  <c r="D254" i="1" s="1"/>
  <c r="H135" i="1"/>
  <c r="G253" i="1" s="1"/>
  <c r="H132" i="1"/>
  <c r="C253" i="1" s="1"/>
  <c r="H134" i="1"/>
  <c r="E253" i="1" s="1"/>
  <c r="H133" i="1"/>
  <c r="D253" i="1" s="1"/>
  <c r="H124" i="1"/>
  <c r="D252" i="1" s="1"/>
  <c r="H125" i="1"/>
  <c r="E252" i="1" s="1"/>
  <c r="H126" i="1"/>
  <c r="G252" i="1" s="1"/>
  <c r="H123" i="1"/>
  <c r="C252" i="1" s="1"/>
  <c r="H117" i="1"/>
  <c r="G251" i="1" s="1"/>
  <c r="H114" i="1"/>
  <c r="C251" i="1" s="1"/>
  <c r="H116" i="1"/>
  <c r="E251" i="1" s="1"/>
  <c r="H115" i="1"/>
  <c r="D251" i="1" s="1"/>
  <c r="H104" i="1"/>
  <c r="C250" i="1" s="1"/>
  <c r="H105" i="1"/>
  <c r="D250" i="1" s="1"/>
  <c r="H107" i="1"/>
  <c r="F250" i="1" s="1"/>
  <c r="H106" i="1"/>
  <c r="E250" i="1" s="1"/>
  <c r="D211" i="3"/>
  <c r="H94" i="1"/>
  <c r="B249" i="1" s="1"/>
  <c r="E3" i="9" s="1"/>
  <c r="H95" i="1"/>
  <c r="H97" i="1"/>
  <c r="E249" i="1" s="1"/>
  <c r="E6" i="9" s="1"/>
  <c r="H98" i="1"/>
  <c r="F249" i="1" s="1"/>
  <c r="E7" i="9" s="1"/>
  <c r="H96" i="1"/>
  <c r="D249" i="1" s="1"/>
  <c r="E8" i="9" s="1"/>
  <c r="F8" i="9" s="1"/>
  <c r="G8" i="9" s="1"/>
  <c r="H8" i="9" s="1"/>
  <c r="I8" i="9" s="1"/>
  <c r="H89" i="1"/>
  <c r="F248" i="1" s="1"/>
  <c r="E86" i="1"/>
  <c r="H86" i="1" s="1"/>
  <c r="C248" i="1" s="1"/>
  <c r="H88" i="1"/>
  <c r="E248" i="1" s="1"/>
  <c r="H87" i="1"/>
  <c r="H85" i="1"/>
  <c r="B248" i="1" s="1"/>
  <c r="H59" i="1"/>
  <c r="C245" i="1" s="1"/>
  <c r="H62" i="1"/>
  <c r="F245" i="1" s="1"/>
  <c r="H58" i="1"/>
  <c r="B245" i="1" s="1"/>
  <c r="B15" i="1"/>
  <c r="C16" i="1"/>
  <c r="B14" i="1"/>
  <c r="D14" i="1"/>
  <c r="D17" i="1"/>
  <c r="D15" i="1"/>
  <c r="D6" i="1"/>
  <c r="D208" i="3"/>
  <c r="B16" i="1"/>
  <c r="B17" i="1"/>
  <c r="D16" i="1"/>
  <c r="H61" i="1"/>
  <c r="E245" i="1" s="1"/>
  <c r="H67" i="1"/>
  <c r="B246" i="1" s="1"/>
  <c r="H60" i="1"/>
  <c r="H71" i="1"/>
  <c r="H68" i="1"/>
  <c r="H69" i="1"/>
  <c r="H50" i="1"/>
  <c r="C244" i="1" s="1"/>
  <c r="H49" i="1"/>
  <c r="B244" i="1" s="1"/>
  <c r="H52" i="1"/>
  <c r="E244" i="1" s="1"/>
  <c r="H51" i="1"/>
  <c r="D5" i="9" s="1"/>
  <c r="H53" i="1"/>
  <c r="F244" i="1" s="1"/>
  <c r="D7" i="1"/>
  <c r="D8" i="1"/>
  <c r="D13" i="1"/>
  <c r="E8" i="1"/>
  <c r="E123" i="3"/>
  <c r="C44" i="1" s="1"/>
  <c r="H44" i="1" s="1"/>
  <c r="F243" i="1" s="1"/>
  <c r="E7" i="3"/>
  <c r="C40" i="1" s="1"/>
  <c r="D42" i="1"/>
  <c r="E5" i="1"/>
  <c r="B6" i="1"/>
  <c r="B8" i="1"/>
  <c r="B7" i="1"/>
  <c r="B5" i="1"/>
  <c r="D5" i="1"/>
  <c r="E4" i="3"/>
  <c r="C13" i="1" s="1"/>
  <c r="D26" i="1"/>
  <c r="E24" i="3"/>
  <c r="C41" i="1" s="1"/>
  <c r="H41" i="1" s="1"/>
  <c r="C243" i="1" s="1"/>
  <c r="D25" i="1"/>
  <c r="B25" i="1"/>
  <c r="B24" i="1"/>
  <c r="D24" i="1"/>
  <c r="D23" i="1"/>
  <c r="B23" i="1"/>
  <c r="B26" i="1"/>
  <c r="E120" i="3"/>
  <c r="E57" i="3"/>
  <c r="C43" i="1" s="1"/>
  <c r="C42" i="1"/>
  <c r="B4" i="1"/>
  <c r="E20" i="3"/>
  <c r="E119" i="3"/>
  <c r="E53" i="3"/>
  <c r="E3" i="3"/>
  <c r="C33" i="1"/>
  <c r="E122" i="3"/>
  <c r="C35" i="1" s="1"/>
  <c r="H35" i="1" s="1"/>
  <c r="F242" i="1" s="1"/>
  <c r="E56" i="3"/>
  <c r="C34" i="1" s="1"/>
  <c r="E6" i="3"/>
  <c r="C31" i="1" s="1"/>
  <c r="E22" i="3"/>
  <c r="E121" i="3"/>
  <c r="E55" i="3"/>
  <c r="E5" i="3"/>
  <c r="C22" i="1" s="1"/>
  <c r="E23" i="3"/>
  <c r="C32" i="1" s="1"/>
  <c r="E21" i="3"/>
  <c r="E47" i="3" l="1"/>
  <c r="E80" i="3"/>
  <c r="C209" i="3" s="1"/>
  <c r="C207" i="3"/>
  <c r="H159" i="1"/>
  <c r="C256" i="1" s="1"/>
  <c r="C4" i="9"/>
  <c r="C7" i="9"/>
  <c r="D6" i="9"/>
  <c r="B7" i="9"/>
  <c r="D7" i="9"/>
  <c r="D3" i="9"/>
  <c r="D4" i="9"/>
  <c r="C249" i="1"/>
  <c r="E4" i="9" s="1"/>
  <c r="C211" i="3"/>
  <c r="C208" i="3"/>
  <c r="E246" i="1"/>
  <c r="C246" i="1"/>
  <c r="C15" i="1"/>
  <c r="C14" i="1"/>
  <c r="H76" i="1"/>
  <c r="B247" i="1" s="1"/>
  <c r="F246" i="1"/>
  <c r="H79" i="1"/>
  <c r="E247" i="1" s="1"/>
  <c r="C17" i="1"/>
  <c r="H78" i="1"/>
  <c r="H77" i="1"/>
  <c r="C247" i="1" s="1"/>
  <c r="E42" i="1"/>
  <c r="E40" i="1"/>
  <c r="E43" i="1"/>
  <c r="H43" i="1" s="1"/>
  <c r="E243" i="1" s="1"/>
  <c r="C25" i="1"/>
  <c r="C24" i="1"/>
  <c r="C7" i="1"/>
  <c r="H7" i="1" s="1"/>
  <c r="E239" i="1" s="1"/>
  <c r="C26" i="1"/>
  <c r="C8" i="1"/>
  <c r="H8" i="1" s="1"/>
  <c r="F239" i="1" s="1"/>
  <c r="C6" i="1"/>
  <c r="H6" i="1" s="1"/>
  <c r="C23" i="1"/>
  <c r="C5" i="1"/>
  <c r="H5" i="1" s="1"/>
  <c r="C239" i="1" s="1"/>
  <c r="C4" i="1"/>
  <c r="H4" i="1" s="1"/>
  <c r="B239" i="1" s="1"/>
  <c r="E22" i="1"/>
  <c r="H22" i="1" s="1"/>
  <c r="B241" i="1" s="1"/>
  <c r="E32" i="1"/>
  <c r="E33" i="1"/>
  <c r="H33" i="1" s="1"/>
  <c r="B5" i="9" s="1"/>
  <c r="E34" i="1"/>
  <c r="H34" i="1" s="1"/>
  <c r="E242" i="1" s="1"/>
  <c r="E31" i="1"/>
  <c r="H31" i="1" s="1"/>
  <c r="B242" i="1" s="1"/>
  <c r="F7" i="9" l="1"/>
  <c r="G7" i="9" s="1"/>
  <c r="H7" i="9" s="1"/>
  <c r="I7" i="9" s="1"/>
  <c r="B3" i="9"/>
  <c r="B6" i="9"/>
  <c r="C6" i="9"/>
  <c r="E208" i="3"/>
  <c r="E209" i="3"/>
  <c r="E207" i="3"/>
  <c r="E23" i="1"/>
  <c r="H23" i="1" s="1"/>
  <c r="C241" i="1" s="1"/>
  <c r="E16" i="1"/>
  <c r="H16" i="1" s="1"/>
  <c r="E240" i="1" s="1"/>
  <c r="E26" i="1"/>
  <c r="H26" i="1" s="1"/>
  <c r="F241" i="1" s="1"/>
  <c r="E15" i="1"/>
  <c r="H15" i="1" s="1"/>
  <c r="E17" i="1"/>
  <c r="H17" i="1" s="1"/>
  <c r="F240" i="1" s="1"/>
  <c r="E211" i="3"/>
  <c r="E25" i="1"/>
  <c r="H25" i="1" s="1"/>
  <c r="E241" i="1" s="1"/>
  <c r="E24" i="1"/>
  <c r="H24" i="1" s="1"/>
  <c r="E14" i="1"/>
  <c r="H14" i="1" s="1"/>
  <c r="C240" i="1" s="1"/>
  <c r="E13" i="1"/>
  <c r="H13" i="1" s="1"/>
  <c r="B240" i="1" s="1"/>
  <c r="H32" i="1"/>
  <c r="C242" i="1" s="1"/>
  <c r="H42" i="1"/>
  <c r="C5" i="9" s="1"/>
  <c r="F5" i="9" s="1"/>
  <c r="H40" i="1"/>
  <c r="B243" i="1" s="1"/>
  <c r="F6" i="9" l="1"/>
  <c r="G6" i="9" s="1"/>
  <c r="H6" i="9" s="1"/>
  <c r="I6" i="9" s="1"/>
  <c r="C3" i="9"/>
  <c r="F3" i="9" s="1"/>
  <c r="G3" i="9" s="1"/>
  <c r="B4" i="9"/>
  <c r="F4" i="9" s="1"/>
  <c r="G4" i="9" s="1"/>
  <c r="G5" i="9"/>
  <c r="H4" i="9" l="1"/>
  <c r="I4" i="9" s="1"/>
  <c r="H3" i="9"/>
  <c r="I3" i="9" s="1"/>
  <c r="I9" i="9" l="1"/>
  <c r="I1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tc={B773EA91-136A-4A8D-B5C0-A5FD7D5BE0C6}</author>
    <author>tc={D9C481E9-6848-453F-810D-92599CB9671F}</author>
    <author>tc={70AD8B34-6470-45BF-9FBA-4057A75AE59F}</author>
    <author>tc={B5EA99A5-E995-4176-BBAB-02D1775B69DB}</author>
    <author>tc={B8B154EA-A57F-453B-9CDF-66AFEF465CBC}</author>
    <author>tc={59699B79-332A-411F-A380-E74ED6CF3512}</author>
    <author>tc={2FC71A21-66EB-4490-A5CD-75CF9F63EA1C}</author>
    <author>tc={9DC9AAF4-5A5F-46CF-B3F8-BA78E53D76E6}</author>
  </authors>
  <commentList>
    <comment ref="B2" authorId="0" shapeId="0" xr:uid="{B773EA91-136A-4A8D-B5C0-A5FD7D5BE0C6}">
      <text>
        <t>[Threaded comment]
Your version of Excel allows you to read this threaded comment; however, any edits to it will get removed if the file is opened in a newer version of Excel. Learn more: https://go.microsoft.com/fwlink/?linkid=870924
Comment:
    Liczba godzin ukończonych zadań (Original Time Estimate) z raportu BurnUp Chart z Jira</t>
      </text>
    </comment>
    <comment ref="C2" authorId="1" shapeId="0" xr:uid="{D9C481E9-6848-453F-810D-92599CB9671F}">
      <text>
        <t>[Threaded comment]
Your version of Excel allows you to read this threaded comment; however, any edits to it will get removed if the file is opened in a newer version of Excel. Learn more: https://go.microsoft.com/fwlink/?linkid=870924
Comment:
    Liczba godzin (Original Time Estimate) zadań przydzielonych programiście, pobrana z raportu BurnUp Chart z Jira</t>
      </text>
    </comment>
    <comment ref="D2" authorId="2" shapeId="0" xr:uid="{70AD8B34-6470-45BF-9FBA-4057A75AE5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Stosunek Completed do Scope - Pokazuje jaki procent przydzielonych zadań w ramach sprintu udało się programiście "dowieść"</t>
      </text>
    </comment>
    <comment ref="E2" authorId="3" shapeId="0" xr:uid="{B5EA99A5-E995-4176-BBAB-02D1775B69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Prównanie Scope programisty do Scope średniego (minus ekstrema) przydzielonego na programistę wyrażone w procentach. Celem paramteru jest sprawdzenie czy scope jaki realizuje programista w porówaniu do innych jest ponad/poniżej średniej.</t>
      </text>
    </comment>
    <comment ref="F2" authorId="4" shapeId="0" xr:uid="{B8B154EA-A57F-453B-9CDF-66AFEF465CBC}">
      <text>
        <t>[Threaded comment]
Your version of Excel allows you to read this threaded comment; however, any edits to it will get removed if the file is opened in a newer version of Excel. Learn more: https://go.microsoft.com/fwlink/?linkid=870924
Comment:
    Godziny zaraportowane do zadań w ramach sprintu (bez godzin na CR, Scrum, komunikację projektową). Dane pochodzą z Jira z raportu Time Reports.</t>
      </text>
    </comment>
    <comment ref="G2" authorId="5" shapeId="0" xr:uid="{59699B79-332A-411F-A380-E74ED6CF35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Stosunek Worked Hours do Completed wyrażony w procentach. Wskaźnik pokazujący zaanagażowanie/skuteczność programisty. Pokazuje procentowo jak czas który zaraportował przełożył się na zakończone zadania w ramach sprintu.</t>
      </text>
    </comment>
    <comment ref="H2" authorId="6" shapeId="0" xr:uid="{2FC71A21-66EB-4490-A5CD-75CF9F63EA1C}">
      <text>
        <t>[Threaded comment]
Your version of Excel allows you to read this threaded comment; however, any edits to it will get removed if the file is opened in a newer version of Excel. Learn more: https://go.microsoft.com/fwlink/?linkid=870924
Comment:
    Liczba godzin programisty w ramach sprint na prace programistyczne. Wartość brana z kalendarzy capacity programistów</t>
      </text>
    </comment>
    <comment ref="I2" authorId="7" shapeId="0" xr:uid="{9DC9AAF4-5A5F-46CF-B3F8-BA78E53D76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Stosunek Capacity do Worked Hours, parameter wskazuje ile z deklarowanego dostępnego czasu na programowanie zostało zaraportowane jako praca programistyczna.</t>
      </text>
    </comment>
  </commentList>
</comments>
</file>

<file path=xl/sharedStrings.xml><?xml version="1.0" encoding="utf-8"?>
<sst xmlns="http://schemas.openxmlformats.org/spreadsheetml/2006/main" count="602" uniqueCount="113">
  <si>
    <t>XYZ</t>
  </si>
  <si>
    <t>Evaluation of the last 3 sprints</t>
  </si>
  <si>
    <r>
      <t xml:space="preserve">M2 TEAM RESULTS / </t>
    </r>
    <r>
      <rPr>
        <b/>
        <i/>
        <sz val="12"/>
        <color theme="4"/>
        <rFont val="Calibri"/>
        <family val="2"/>
        <charset val="238"/>
        <scheme val="minor"/>
      </rPr>
      <t>LAST 20 SPRINTS</t>
    </r>
  </si>
  <si>
    <t xml:space="preserve"> </t>
  </si>
  <si>
    <t>TEAM COMPARISON</t>
  </si>
  <si>
    <t>Sprint 22</t>
  </si>
  <si>
    <t>Scales</t>
  </si>
  <si>
    <t>Completed scope</t>
  </si>
  <si>
    <t>Scope vs Team (h)</t>
  </si>
  <si>
    <t>Fokus rate</t>
  </si>
  <si>
    <t>Capacity</t>
  </si>
  <si>
    <t>Timeout of the task</t>
  </si>
  <si>
    <t>Team's NPS</t>
  </si>
  <si>
    <t>Score</t>
  </si>
  <si>
    <t>Scale</t>
  </si>
  <si>
    <t>Marek</t>
  </si>
  <si>
    <t>Gracjan</t>
  </si>
  <si>
    <t>Tomek</t>
  </si>
  <si>
    <t>Paweł</t>
  </si>
  <si>
    <t>Points range</t>
  </si>
  <si>
    <t>Piotr</t>
  </si>
  <si>
    <t>Sprint 23</t>
  </si>
  <si>
    <t>Waga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</si>
  <si>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</si>
  <si>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</si>
  <si>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</si>
  <si>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</si>
  <si>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</si>
  <si>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</si>
  <si>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</si>
  <si>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</si>
  <si>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33</t>
  </si>
  <si>
    <t>Hania</t>
  </si>
  <si>
    <t>Sprint 34</t>
  </si>
  <si>
    <t>Kamil</t>
  </si>
  <si>
    <t>Sprint 35</t>
  </si>
  <si>
    <t>Sprint 36</t>
  </si>
  <si>
    <t>Sprint 37</t>
  </si>
  <si>
    <t>Sprint 38</t>
  </si>
  <si>
    <t>Sprint 39</t>
  </si>
  <si>
    <t>Sprint 40</t>
  </si>
  <si>
    <t>Sprint 41</t>
  </si>
  <si>
    <t>Sprint 42</t>
  </si>
  <si>
    <t>Sprint 43</t>
  </si>
  <si>
    <t>Sprint 44</t>
  </si>
  <si>
    <t>Sprint 45</t>
  </si>
  <si>
    <t>Sprint 46</t>
  </si>
  <si>
    <t>Sprints</t>
  </si>
  <si>
    <t>Sprint</t>
  </si>
  <si>
    <t>Completed</t>
  </si>
  <si>
    <t>Scope</t>
  </si>
  <si>
    <t>% Copleted</t>
  </si>
  <si>
    <t>Scope vs Team H</t>
  </si>
  <si>
    <t>Worked Hours</t>
  </si>
  <si>
    <t>Focus Rate</t>
  </si>
  <si>
    <t>% Capacity</t>
  </si>
  <si>
    <t>22 (08.11-21.11)</t>
  </si>
  <si>
    <t>23 (22.11-05.12)</t>
  </si>
  <si>
    <t>24 (06.12-19.12)</t>
  </si>
  <si>
    <t>25 (20.12-02.01)</t>
  </si>
  <si>
    <t>26 (03.01-16.01)</t>
  </si>
  <si>
    <t>27 (17.01-30.01)</t>
  </si>
  <si>
    <t>28 (31.01-13.02)</t>
  </si>
  <si>
    <t>29 (14.02-27.02)</t>
  </si>
  <si>
    <t>30 (28.02-13.03)</t>
  </si>
  <si>
    <t>31 (14.03-27.03)</t>
  </si>
  <si>
    <t>Fokus Rate</t>
  </si>
  <si>
    <t>25 (20.12-03.01)</t>
  </si>
  <si>
    <t>Piotrek</t>
  </si>
  <si>
    <t>AVG copleted scope H</t>
  </si>
  <si>
    <t>Sum Scope</t>
  </si>
  <si>
    <t>Sum Completed</t>
  </si>
  <si>
    <t>27 (16.01-31.01)</t>
  </si>
  <si>
    <t xml:space="preserve">Kamil </t>
  </si>
  <si>
    <t>33 (06.06 - 19.06)</t>
  </si>
  <si>
    <t>Zakres punktowe</t>
  </si>
  <si>
    <t>Poziom rabatu / dodatku</t>
  </si>
  <si>
    <t>AVG - Sprints</t>
  </si>
  <si>
    <t>Kara/Wzrost</t>
  </si>
  <si>
    <t>Liczba rabatowanych h</t>
  </si>
  <si>
    <t>Kwota</t>
  </si>
  <si>
    <t>Suma</t>
  </si>
  <si>
    <t>SPRINT</t>
  </si>
  <si>
    <t>START</t>
  </si>
  <si>
    <t>STOP</t>
  </si>
  <si>
    <t>20.06 - 03.07</t>
  </si>
  <si>
    <t>34 (20.06 - 03.07)</t>
  </si>
  <si>
    <t>04.07 - 17.07</t>
  </si>
  <si>
    <t>35 (04.07 - 17.07)</t>
  </si>
  <si>
    <t>18.07 - 31.07</t>
  </si>
  <si>
    <t>36 (18.07 - 31.07)</t>
  </si>
  <si>
    <t>01.08 - 14.08</t>
  </si>
  <si>
    <t>37 (01.08 - 14.08)</t>
  </si>
  <si>
    <t>15.08 - 28.08</t>
  </si>
  <si>
    <t>38 (15.08 - 28.08)</t>
  </si>
  <si>
    <t>29.08 - 11.09</t>
  </si>
  <si>
    <t>39 (29.08 - 11.09)</t>
  </si>
  <si>
    <t>12.09 - 25.09</t>
  </si>
  <si>
    <t>40 (12.09 - 25.09)</t>
  </si>
  <si>
    <t>26.09 - 09.10</t>
  </si>
  <si>
    <t>41 (26.09 - 09.10)</t>
  </si>
  <si>
    <t>10.10 - 23.10</t>
  </si>
  <si>
    <t>42 (10.10 - 23.10)</t>
  </si>
  <si>
    <t>24.10 - 06.11</t>
  </si>
  <si>
    <t>43 (24.10 - 06.11)</t>
  </si>
  <si>
    <t>07.11 - 20.11</t>
  </si>
  <si>
    <t>44 (07.11 - 20.11)</t>
  </si>
  <si>
    <t>21.11 - 04.12</t>
  </si>
  <si>
    <t>45 (21.11 - 04.12)</t>
  </si>
  <si>
    <t>05.12 - 18.12</t>
  </si>
  <si>
    <t>46 (05.12 - 18.12)</t>
  </si>
  <si>
    <t>19.12 - 01.01</t>
  </si>
  <si>
    <t>47 (19.12 - 01.01)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</si>
</sst>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PLN&quot;_);[Red]\(#,##0.00\ &quot;PLN&quot;\)"/>
    <numFmt numFmtId="165" formatCode="_ * #,##0.00_)\ &quot;PLN&quot;_ ;_ * \(#,##0.00\)\ &quot;PLN&quot;_ ;_ * &quot;-&quot;??_)\ &quot;PLN&quot;_ ;_ @_ "/>
    <numFmt numFmtId="166" formatCode="0.0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4"/>
      <name val="Calibri"/>
      <family val="2"/>
      <charset val="238"/>
      <scheme val="minor"/>
    </font>
    <font>
      <b/>
      <sz val="18"/>
      <color theme="4"/>
      <name val="Calibri"/>
      <family val="2"/>
      <charset val="238"/>
      <scheme val="minor"/>
    </font>
    <font>
      <b/>
      <i/>
      <sz val="12"/>
      <color theme="4"/>
      <name val="Calibri"/>
      <family val="2"/>
      <charset val="238"/>
      <scheme val="minor"/>
    </font>
    <font>
      <sz val="12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/>
      <top style="double">
        <color theme="4" tint="-0.24994659260841701"/>
      </top>
      <bottom/>
      <diagonal/>
    </border>
    <border>
      <left/>
      <right/>
      <top style="double">
        <color theme="4" tint="-0.24994659260841701"/>
      </top>
      <bottom/>
      <diagonal/>
    </border>
    <border>
      <left/>
      <right style="thin">
        <color theme="4" tint="-0.24994659260841701"/>
      </right>
      <top style="double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double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 style="thin">
        <color theme="4" tint="-0.24994659260841701"/>
      </right>
      <top/>
      <bottom style="double">
        <color theme="4" tint="-0.2499465926084170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9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  <xf numFmtId="9" fontId="1" fillId="0" borderId="0" xfId="1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0" fontId="0" fillId="3" borderId="0" xfId="0" applyFill="1"/>
    <xf numFmtId="9" fontId="1" fillId="3" borderId="0" xfId="1" applyFont="1" applyFill="1" applyAlignment="1">
      <alignment horizontal="center"/>
    </xf>
    <xf numFmtId="166" fontId="1" fillId="3" borderId="0" xfId="0" applyNumberFormat="1" applyFont="1" applyFill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3" fillId="0" borderId="0" xfId="0" applyFont="1"/>
    <xf numFmtId="14" fontId="0" fillId="0" borderId="0" xfId="0" applyNumberFormat="1"/>
    <xf numFmtId="0" fontId="0" fillId="4" borderId="0" xfId="0" applyFill="1"/>
    <xf numFmtId="166" fontId="0" fillId="4" borderId="0" xfId="0" applyNumberFormat="1" applyFill="1"/>
    <xf numFmtId="0" fontId="9" fillId="0" borderId="0" xfId="0" applyFont="1"/>
    <xf numFmtId="9" fontId="9" fillId="0" borderId="0" xfId="1" applyFont="1" applyAlignment="1">
      <alignment horizontal="center"/>
    </xf>
    <xf numFmtId="9" fontId="9" fillId="0" borderId="0" xfId="1" applyFont="1"/>
    <xf numFmtId="166" fontId="9" fillId="0" borderId="0" xfId="0" applyNumberFormat="1" applyFont="1"/>
    <xf numFmtId="0" fontId="9" fillId="3" borderId="0" xfId="0" applyFont="1" applyFill="1"/>
    <xf numFmtId="9" fontId="10" fillId="3" borderId="0" xfId="1" applyFont="1" applyFill="1" applyAlignment="1">
      <alignment horizontal="center"/>
    </xf>
    <xf numFmtId="166" fontId="10" fillId="3" borderId="0" xfId="0" applyNumberFormat="1" applyFont="1" applyFill="1"/>
    <xf numFmtId="0" fontId="11" fillId="5" borderId="0" xfId="0" applyFont="1" applyFill="1"/>
    <xf numFmtId="0" fontId="0" fillId="5" borderId="0" xfId="0" applyFill="1"/>
    <xf numFmtId="166" fontId="0" fillId="5" borderId="0" xfId="0" applyNumberFormat="1" applyFill="1"/>
    <xf numFmtId="2" fontId="0" fillId="5" borderId="0" xfId="0" applyNumberFormat="1" applyFill="1"/>
    <xf numFmtId="0" fontId="6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0" fillId="7" borderId="0" xfId="0" applyFill="1"/>
    <xf numFmtId="0" fontId="4" fillId="7" borderId="0" xfId="0" applyFont="1" applyFill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444E86"/>
      <color rgb="FF955196"/>
      <color rgb="FFDD5182"/>
      <color rgb="FFFFA600"/>
      <color rgb="FFFF6E54"/>
      <color rgb="FFA2C1DE"/>
      <color rgb="FFA5C3DF"/>
      <color rgb="FF929AC8"/>
      <color rgb="FFB072B2"/>
      <color rgb="FFEFF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Team comparison (AVG)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Model!$A$207</c:f>
              <c:strCache>
                <c:ptCount val="1"/>
                <c:pt idx="0">
                  <c:v>Gracjan</c:v>
                </c:pt>
              </c:strCache>
            </c:strRef>
          </c:tx>
          <c:spPr>
            <a:solidFill>
              <a:srgbClr val="444E86">
                <a:alpha val="80000"/>
              </a:srgbClr>
            </a:solidFill>
            <a:ln w="9525" cap="flat" cmpd="sng" algn="ctr">
              <a:solidFill>
                <a:srgbClr val="444E86"/>
              </a:solidFill>
              <a:miter lim="800000"/>
            </a:ln>
            <a:effectLst>
              <a:outerShdw blurRad="50800" dist="50800" dir="5400000" algn="ctr" rotWithShape="0">
                <a:srgbClr val="955196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Model!$B$206:$E$206</c:f>
              <c:strCache>
                <c:ptCount val="4"/>
                <c:pt idx="0">
                  <c:v>% Copleted</c:v>
                </c:pt>
                <c:pt idx="1">
                  <c:v>Scope vs Team H</c:v>
                </c:pt>
                <c:pt idx="2">
                  <c:v>Fokus Rate</c:v>
                </c:pt>
                <c:pt idx="3">
                  <c:v>% Capacity</c:v>
                </c:pt>
              </c:strCache>
            </c:strRef>
          </c:cat>
          <c:val>
            <c:numRef>
              <c:f>Model!$B$207:$E$207</c:f>
              <c:numCache>
                <c:formatCode>0%</c:formatCode>
                <c:ptCount val="4"/>
                <c:pt idx="0">
                  <c:v>1.0237891771905612</c:v>
                </c:pt>
                <c:pt idx="1">
                  <c:v>0.98238656730275808</c:v>
                </c:pt>
                <c:pt idx="2">
                  <c:v>1.0132785713299386</c:v>
                </c:pt>
                <c:pt idx="3">
                  <c:v>1.0947793272720538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F-1F4B-B91A-350060B44554}"/>
            </c:ext>
          </c:extLst>
        </c:ser>
        <c:ser>
          <c:idx val="3"/>
          <c:order val="1"/>
          <c:tx>
            <c:strRef>
              <c:f>Model!$A$208</c:f>
              <c:strCache>
                <c:ptCount val="1"/>
                <c:pt idx="0">
                  <c:v>Hania</c:v>
                </c:pt>
              </c:strCache>
            </c:strRef>
          </c:tx>
          <c:spPr>
            <a:solidFill>
              <a:srgbClr val="955196">
                <a:alpha val="80000"/>
              </a:srgbClr>
            </a:solidFill>
            <a:ln w="9525" cap="flat" cmpd="sng" algn="ctr">
              <a:solidFill>
                <a:srgbClr val="95519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Model!$B$206:$E$206</c:f>
              <c:strCache>
                <c:ptCount val="4"/>
                <c:pt idx="0">
                  <c:v>% Copleted</c:v>
                </c:pt>
                <c:pt idx="1">
                  <c:v>Scope vs Team H</c:v>
                </c:pt>
                <c:pt idx="2">
                  <c:v>Fokus Rate</c:v>
                </c:pt>
                <c:pt idx="3">
                  <c:v>% Capacity</c:v>
                </c:pt>
              </c:strCache>
            </c:strRef>
          </c:cat>
          <c:val>
            <c:numRef>
              <c:f>Model!$B$208:$E$208</c:f>
              <c:numCache>
                <c:formatCode>0%</c:formatCode>
                <c:ptCount val="4"/>
                <c:pt idx="0">
                  <c:v>0.89616968856232959</c:v>
                </c:pt>
                <c:pt idx="1">
                  <c:v>0.74220674807610243</c:v>
                </c:pt>
                <c:pt idx="2">
                  <c:v>0.95871766662368185</c:v>
                </c:pt>
                <c:pt idx="3">
                  <c:v>1.0862792716607677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0F-1F4B-B91A-350060B44554}"/>
            </c:ext>
          </c:extLst>
        </c:ser>
        <c:ser>
          <c:idx val="2"/>
          <c:order val="2"/>
          <c:tx>
            <c:strRef>
              <c:f>Model!$A$209</c:f>
              <c:strCache>
                <c:ptCount val="1"/>
                <c:pt idx="0">
                  <c:v>Paweł</c:v>
                </c:pt>
              </c:strCache>
            </c:strRef>
          </c:tx>
          <c:spPr>
            <a:solidFill>
              <a:srgbClr val="DD5182">
                <a:alpha val="80000"/>
              </a:srgbClr>
            </a:solidFill>
            <a:ln w="9525" cap="flat" cmpd="sng" algn="ctr">
              <a:solidFill>
                <a:srgbClr val="DD518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Model!$B$206:$E$206</c:f>
              <c:strCache>
                <c:ptCount val="4"/>
                <c:pt idx="0">
                  <c:v>% Copleted</c:v>
                </c:pt>
                <c:pt idx="1">
                  <c:v>Scope vs Team H</c:v>
                </c:pt>
                <c:pt idx="2">
                  <c:v>Fokus Rate</c:v>
                </c:pt>
                <c:pt idx="3">
                  <c:v>% Capacity</c:v>
                </c:pt>
              </c:strCache>
            </c:strRef>
          </c:cat>
          <c:val>
            <c:numRef>
              <c:f>Model!$B$209:$E$209</c:f>
              <c:numCache>
                <c:formatCode>0%</c:formatCode>
                <c:ptCount val="4"/>
                <c:pt idx="0">
                  <c:v>0.88245780339734547</c:v>
                </c:pt>
                <c:pt idx="1">
                  <c:v>0.7744497796579769</c:v>
                </c:pt>
                <c:pt idx="2">
                  <c:v>0.78972350983821593</c:v>
                </c:pt>
                <c:pt idx="3">
                  <c:v>0.9992990160150641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F-1F4B-B91A-350060B44554}"/>
            </c:ext>
          </c:extLst>
        </c:ser>
        <c:ser>
          <c:idx val="0"/>
          <c:order val="3"/>
          <c:tx>
            <c:strRef>
              <c:f>Model!$A$210</c:f>
              <c:strCache>
                <c:ptCount val="1"/>
                <c:pt idx="0">
                  <c:v>Kamil </c:v>
                </c:pt>
              </c:strCache>
            </c:strRef>
          </c:tx>
          <c:spPr>
            <a:solidFill>
              <a:srgbClr val="FFA600">
                <a:alpha val="80000"/>
              </a:srgbClr>
            </a:solidFill>
            <a:ln w="9525" cap="flat" cmpd="sng" algn="ctr">
              <a:solidFill>
                <a:srgbClr val="444E8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Model!$B$206:$E$206</c:f>
              <c:strCache>
                <c:ptCount val="4"/>
                <c:pt idx="0">
                  <c:v>% Copleted</c:v>
                </c:pt>
                <c:pt idx="1">
                  <c:v>Scope vs Team H</c:v>
                </c:pt>
                <c:pt idx="2">
                  <c:v>Fokus Rate</c:v>
                </c:pt>
                <c:pt idx="3">
                  <c:v>% Capacity</c:v>
                </c:pt>
              </c:strCache>
            </c:strRef>
          </c:cat>
          <c:val>
            <c:numRef>
              <c:f>Model!$B$210:$E$210</c:f>
              <c:numCache>
                <c:formatCode>0%</c:formatCode>
                <c:ptCount val="4"/>
                <c:pt idx="0">
                  <c:v>1.181827261520731</c:v>
                </c:pt>
                <c:pt idx="1">
                  <c:v>1.0395014361035746</c:v>
                </c:pt>
                <c:pt idx="2">
                  <c:v>1.0075641643589583</c:v>
                </c:pt>
                <c:pt idx="3">
                  <c:v>1.0572892734969541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F-1F4B-B91A-350060B4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77957072"/>
        <c:axId val="27795872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Model!$A$211</c15:sqref>
                        </c15:formulaRef>
                      </c:ext>
                    </c:extLst>
                    <c:strCache>
                      <c:ptCount val="1"/>
                      <c:pt idx="0">
                        <c:v>Piotr</c:v>
                      </c:pt>
                    </c:strCache>
                  </c:strRef>
                </c:tx>
                <c:spPr>
                  <a:solidFill>
                    <a:srgbClr val="FFA600">
                      <a:alpha val="80000"/>
                    </a:srgbClr>
                  </a:solidFill>
                  <a:ln w="9525" cap="flat" cmpd="sng" algn="ctr">
                    <a:solidFill>
                      <a:srgbClr val="FFA600"/>
                    </a:solidFill>
                    <a:miter lim="800000"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Model!$B$206:$E$206</c15:sqref>
                        </c15:formulaRef>
                      </c:ext>
                    </c:extLst>
                    <c:strCache>
                      <c:ptCount val="4"/>
                      <c:pt idx="0">
                        <c:v>% Copleted</c:v>
                      </c:pt>
                      <c:pt idx="1">
                        <c:v>Scope vs Team H</c:v>
                      </c:pt>
                      <c:pt idx="2">
                        <c:v>Fokus Rate</c:v>
                      </c:pt>
                      <c:pt idx="3">
                        <c:v>% Capacity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Model!$B$211:$E$211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F0F-1F4B-B91A-350060B44554}"/>
                  </c:ext>
                </c:extLst>
              </c15:ser>
            </c15:filteredBarSeries>
          </c:ext>
        </c:extLst>
      </c:barChart>
      <c:catAx>
        <c:axId val="277957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77958720"/>
        <c:crosses val="autoZero"/>
        <c:auto val="1"/>
        <c:lblAlgn val="ctr"/>
        <c:lblOffset val="100"/>
        <c:noMultiLvlLbl val="0"/>
      </c:catAx>
      <c:valAx>
        <c:axId val="277958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7795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Kamil</a:t>
            </a:r>
            <a:r>
              <a:rPr lang="en-GB"/>
              <a:t>'s</a:t>
            </a:r>
            <a:r>
              <a:rPr lang="en-GB" baseline="0"/>
              <a:t>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Results!$G$238</c:f>
              <c:strCache>
                <c:ptCount val="1"/>
                <c:pt idx="0">
                  <c:v>Kamil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>
                    <a:alpha val="67000"/>
                  </a:schemeClr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Results!$A$251:$A$262</c:f>
              <c:numCache>
                <c:formatCode>General</c:formatCode>
                <c:ptCount val="12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</c:numCache>
            </c:numRef>
          </c:xVal>
          <c:yVal>
            <c:numRef>
              <c:f>Results!$G$251:$G$262</c:f>
              <c:numCache>
                <c:formatCode>0.0</c:formatCode>
                <c:ptCount val="12"/>
                <c:pt idx="0">
                  <c:v>7.5757575757575761</c:v>
                </c:pt>
                <c:pt idx="1">
                  <c:v>5.0909090909090917</c:v>
                </c:pt>
                <c:pt idx="2">
                  <c:v>7.9090909090909092</c:v>
                </c:pt>
                <c:pt idx="3">
                  <c:v>7.9090909090909092</c:v>
                </c:pt>
                <c:pt idx="4">
                  <c:v>8.1818181818181817</c:v>
                </c:pt>
                <c:pt idx="5">
                  <c:v>6.9090909090909101</c:v>
                </c:pt>
                <c:pt idx="6">
                  <c:v>8.5757575757575761</c:v>
                </c:pt>
                <c:pt idx="7">
                  <c:v>8.7272727272727284</c:v>
                </c:pt>
                <c:pt idx="8">
                  <c:v>7.3636363636363642</c:v>
                </c:pt>
                <c:pt idx="9">
                  <c:v>8.4242424242424256</c:v>
                </c:pt>
                <c:pt idx="10">
                  <c:v>8.1818181818181817</c:v>
                </c:pt>
                <c:pt idx="11">
                  <c:v>8.9696969696969706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4C-7A43-83E9-F44F62D975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86968464"/>
        <c:axId val="482104672"/>
      </c:scatterChart>
      <c:valAx>
        <c:axId val="286968464"/>
        <c:scaling>
          <c:orientation val="minMax"/>
          <c:max val="48"/>
          <c:min val="2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2104672"/>
        <c:crosses val="autoZero"/>
        <c:crossBetween val="midCat"/>
        <c:majorUnit val="1"/>
        <c:minorUnit val="1"/>
      </c:valAx>
      <c:valAx>
        <c:axId val="482104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86968464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Gracjan's</a:t>
            </a:r>
            <a:r>
              <a:rPr lang="en-GB" baseline="0"/>
              <a:t>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Results!$C$238</c:f>
              <c:strCache>
                <c:ptCount val="1"/>
                <c:pt idx="0">
                  <c:v>Gracjan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E67110">
                    <a:alpha val="62000"/>
                  </a:srgbClr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Results!$A$239:$A$262</c:f>
              <c:numCache>
                <c:formatCode>General</c:formatCode>
                <c:ptCount val="2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</c:numCache>
            </c:numRef>
          </c:xVal>
          <c:yVal>
            <c:numRef>
              <c:f>Results!$C$239:$C$262</c:f>
              <c:numCache>
                <c:formatCode>0.0</c:formatCode>
                <c:ptCount val="24"/>
                <c:pt idx="0">
                  <c:v>3.5454545454545459</c:v>
                </c:pt>
                <c:pt idx="1">
                  <c:v>4.4545454545454541</c:v>
                </c:pt>
                <c:pt idx="2">
                  <c:v>4.3333333333333339</c:v>
                </c:pt>
                <c:pt idx="3">
                  <c:v>4.3333333333333339</c:v>
                </c:pt>
                <c:pt idx="4">
                  <c:v>4.4545454545454541</c:v>
                </c:pt>
                <c:pt idx="5">
                  <c:v>4.0909090909090908</c:v>
                </c:pt>
                <c:pt idx="6">
                  <c:v>4.4545454545454541</c:v>
                </c:pt>
                <c:pt idx="7">
                  <c:v>4.0909090909090908</c:v>
                </c:pt>
                <c:pt idx="8">
                  <c:v>4.0909090909090908</c:v>
                </c:pt>
                <c:pt idx="9">
                  <c:v>4.2727272727272734</c:v>
                </c:pt>
                <c:pt idx="10">
                  <c:v>4.6363636363636367</c:v>
                </c:pt>
                <c:pt idx="11">
                  <c:v>7.0000000000000009</c:v>
                </c:pt>
                <c:pt idx="12">
                  <c:v>7.6363636363636367</c:v>
                </c:pt>
                <c:pt idx="13">
                  <c:v>7.2121212121212128</c:v>
                </c:pt>
                <c:pt idx="14">
                  <c:v>7.121212121212122</c:v>
                </c:pt>
                <c:pt idx="15">
                  <c:v>7.8181818181818192</c:v>
                </c:pt>
                <c:pt idx="16">
                  <c:v>8.7272727272727284</c:v>
                </c:pt>
                <c:pt idx="17">
                  <c:v>8.454545454545455</c:v>
                </c:pt>
                <c:pt idx="18">
                  <c:v>8.5757575757575761</c:v>
                </c:pt>
                <c:pt idx="19">
                  <c:v>7.2727272727272734</c:v>
                </c:pt>
                <c:pt idx="20">
                  <c:v>8.7272727272727284</c:v>
                </c:pt>
                <c:pt idx="21">
                  <c:v>7.5454545454545467</c:v>
                </c:pt>
                <c:pt idx="22">
                  <c:v>8.9696969696969706</c:v>
                </c:pt>
                <c:pt idx="23">
                  <c:v>8.6060606060606073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A7-4B0A-BF14-2E45AEADF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68464"/>
        <c:axId val="482104672"/>
      </c:scatterChart>
      <c:valAx>
        <c:axId val="286968464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2104672"/>
        <c:crosses val="autoZero"/>
        <c:crossBetween val="midCat"/>
        <c:majorUnit val="1"/>
        <c:minorUnit val="1"/>
      </c:valAx>
      <c:valAx>
        <c:axId val="4821046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86968464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Hania</a:t>
            </a:r>
            <a:r>
              <a:rPr lang="en-GB"/>
              <a:t>'s</a:t>
            </a:r>
            <a:r>
              <a:rPr lang="en-GB" baseline="0"/>
              <a:t>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Results!$D$238</c:f>
              <c:strCache>
                <c:ptCount val="1"/>
                <c:pt idx="0">
                  <c:v>Hania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noFill/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Results!$A$249:$A$262</c:f>
              <c:numCache>
                <c:formatCode>General</c:formatCode>
                <c:ptCount val="14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</c:numCache>
            </c:numRef>
          </c:xVal>
          <c:yVal>
            <c:numRef>
              <c:f>Results!$D$249:$D$262</c:f>
              <c:numCache>
                <c:formatCode>0.0</c:formatCode>
                <c:ptCount val="14"/>
                <c:pt idx="0">
                  <c:v>7.6363636363636367</c:v>
                </c:pt>
                <c:pt idx="1">
                  <c:v>6.3939393939393936</c:v>
                </c:pt>
                <c:pt idx="2">
                  <c:v>7.121212121212122</c:v>
                </c:pt>
                <c:pt idx="3">
                  <c:v>6.8484848484848495</c:v>
                </c:pt>
                <c:pt idx="4">
                  <c:v>3.8181818181818188</c:v>
                </c:pt>
                <c:pt idx="5">
                  <c:v>8.3636363636363651</c:v>
                </c:pt>
                <c:pt idx="6">
                  <c:v>6.454545454545455</c:v>
                </c:pt>
                <c:pt idx="7">
                  <c:v>6.9090909090909101</c:v>
                </c:pt>
                <c:pt idx="8">
                  <c:v>3.8181818181818188</c:v>
                </c:pt>
                <c:pt idx="9">
                  <c:v>8.7272727272727284</c:v>
                </c:pt>
                <c:pt idx="10">
                  <c:v>4.3939393939393945</c:v>
                </c:pt>
                <c:pt idx="11">
                  <c:v>8.5757575757575761</c:v>
                </c:pt>
                <c:pt idx="12">
                  <c:v>8.5151515151515156</c:v>
                </c:pt>
                <c:pt idx="13">
                  <c:v>8.3333333333333339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81-D846-AC96-E695796B7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68464"/>
        <c:axId val="482104672"/>
      </c:scatterChart>
      <c:valAx>
        <c:axId val="286968464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2104672"/>
        <c:crosses val="autoZero"/>
        <c:crossBetween val="midCat"/>
        <c:majorUnit val="1"/>
        <c:minorUnit val="1"/>
      </c:valAx>
      <c:valAx>
        <c:axId val="4821046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8696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Paweł's</a:t>
            </a:r>
            <a:r>
              <a:rPr lang="en-GB" baseline="0"/>
              <a:t>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Results!$E$238</c:f>
              <c:strCache>
                <c:ptCount val="1"/>
                <c:pt idx="0">
                  <c:v>Paweł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>
                    <a:alpha val="67000"/>
                  </a:schemeClr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Results!$A$239:$A$262</c:f>
              <c:numCache>
                <c:formatCode>General</c:formatCode>
                <c:ptCount val="2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</c:numCache>
            </c:numRef>
          </c:xVal>
          <c:yVal>
            <c:numRef>
              <c:f>Results!$E$239:$E$262</c:f>
              <c:numCache>
                <c:formatCode>0.0</c:formatCode>
                <c:ptCount val="24"/>
                <c:pt idx="0">
                  <c:v>3.8181818181818188</c:v>
                </c:pt>
                <c:pt idx="1">
                  <c:v>4.1818181818181825</c:v>
                </c:pt>
                <c:pt idx="2">
                  <c:v>3.3030303030303032</c:v>
                </c:pt>
                <c:pt idx="3">
                  <c:v>2.8484848484848486</c:v>
                </c:pt>
                <c:pt idx="4">
                  <c:v>3.6363636363636367</c:v>
                </c:pt>
                <c:pt idx="5">
                  <c:v>4.121212121212122</c:v>
                </c:pt>
                <c:pt idx="6">
                  <c:v>3.6060606060606064</c:v>
                </c:pt>
                <c:pt idx="7">
                  <c:v>4.2727272727272734</c:v>
                </c:pt>
                <c:pt idx="8">
                  <c:v>4.4545454545454541</c:v>
                </c:pt>
                <c:pt idx="9">
                  <c:v>3.0909090909090913</c:v>
                </c:pt>
                <c:pt idx="10">
                  <c:v>2.5757575757575757</c:v>
                </c:pt>
                <c:pt idx="11">
                  <c:v>6.6363636363636376</c:v>
                </c:pt>
                <c:pt idx="12">
                  <c:v>7.9090909090909092</c:v>
                </c:pt>
                <c:pt idx="13">
                  <c:v>8.5757575757575761</c:v>
                </c:pt>
                <c:pt idx="14">
                  <c:v>5.9090909090909092</c:v>
                </c:pt>
                <c:pt idx="15">
                  <c:v>6.9090909090909101</c:v>
                </c:pt>
                <c:pt idx="16">
                  <c:v>7.0909090909090917</c:v>
                </c:pt>
                <c:pt idx="17">
                  <c:v>8.454545454545455</c:v>
                </c:pt>
                <c:pt idx="18">
                  <c:v>7.6363636363636367</c:v>
                </c:pt>
                <c:pt idx="19">
                  <c:v>5.8181818181818183</c:v>
                </c:pt>
                <c:pt idx="20">
                  <c:v>8.545454545454545</c:v>
                </c:pt>
                <c:pt idx="21">
                  <c:v>6.3030303030303036</c:v>
                </c:pt>
                <c:pt idx="22">
                  <c:v>7.2424242424242431</c:v>
                </c:pt>
                <c:pt idx="23">
                  <c:v>5.787878787878789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74-1648-A79C-5B555C9E9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68464"/>
        <c:axId val="482104672"/>
      </c:scatterChart>
      <c:valAx>
        <c:axId val="286968464"/>
        <c:scaling>
          <c:orientation val="minMax"/>
          <c:min val="2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2104672"/>
        <c:crosses val="autoZero"/>
        <c:crossBetween val="midCat"/>
        <c:majorUnit val="1"/>
        <c:minorUnit val="1"/>
      </c:valAx>
      <c:valAx>
        <c:axId val="4821046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86968464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Results!$A$165</c:f>
              <c:strCache>
                <c:ptCount val="1"/>
                <c:pt idx="0">
                  <c:v>Sprint 41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Results!$A$179:$A$182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Results!$H$189:$H$192</c:f>
              <c:numCache>
                <c:formatCode>0.0</c:formatCode>
                <c:ptCount val="4"/>
                <c:pt idx="0">
                  <c:v>8.7272727272727284</c:v>
                </c:pt>
                <c:pt idx="1">
                  <c:v>4.3939393939393945</c:v>
                </c:pt>
                <c:pt idx="2">
                  <c:v>8.545454545454545</c:v>
                </c:pt>
                <c:pt idx="3">
                  <c:v>7.3636363636363642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3-4F61-A40A-49D8BE2C80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Total score</a:t>
            </a:r>
            <a:r>
              <a:rPr lang="pl-PL">
                <a:solidFill>
                  <a:schemeClr val="bg1"/>
                </a:solidFill>
              </a:rPr>
              <a:t> </a:t>
            </a:r>
            <a:r>
              <a:rPr lang="en-GB">
                <a:solidFill>
                  <a:schemeClr val="bg1"/>
                </a:solidFill>
              </a:rPr>
              <a:t>Sprint </a:t>
            </a:r>
            <a:r>
              <a:rPr lang="pl-PL">
                <a:solidFill>
                  <a:schemeClr val="bg1"/>
                </a:solidFill>
              </a:rPr>
              <a:t>46</a:t>
            </a:r>
            <a:endParaRPr lang="en-GB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Results!$A$185</c:f>
              <c:strCache>
                <c:ptCount val="1"/>
                <c:pt idx="0">
                  <c:v>Sprint 43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Results!$A$199:$A$202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Results!$H$219:$H$222</c:f>
              <c:numCache>
                <c:formatCode>0.0</c:formatCode>
                <c:ptCount val="4"/>
                <c:pt idx="0">
                  <c:v>8.6060606060606073</c:v>
                </c:pt>
                <c:pt idx="1">
                  <c:v>8.3333333333333339</c:v>
                </c:pt>
                <c:pt idx="2">
                  <c:v>5.787878787878789</c:v>
                </c:pt>
                <c:pt idx="3">
                  <c:v>8.9696969696969706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92-43CC-BEA8-800ADAD003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Results!$A$175</c:f>
              <c:strCache>
                <c:ptCount val="1"/>
                <c:pt idx="0">
                  <c:v>Sprint 42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Results!$A$189:$A$192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Results!$H$209:$H$212</c:f>
              <c:numCache>
                <c:formatCode>0.0</c:formatCode>
                <c:ptCount val="4"/>
                <c:pt idx="0">
                  <c:v>8.9696969696969706</c:v>
                </c:pt>
                <c:pt idx="1">
                  <c:v>8.5151515151515156</c:v>
                </c:pt>
                <c:pt idx="2">
                  <c:v>7.2424242424242431</c:v>
                </c:pt>
                <c:pt idx="3">
                  <c:v>8.1818181818181817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6A-4327-95EA-D26511294C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Ocena łączna Sprint 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Results!$A$58:$A$62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Results!$H$58:$H$62</c:f>
              <c:numCache>
                <c:formatCode>0.0</c:formatCode>
                <c:ptCount val="5"/>
                <c:pt idx="0">
                  <c:v>8.5757575757575761</c:v>
                </c:pt>
                <c:pt idx="1">
                  <c:v>4.4545454545454541</c:v>
                </c:pt>
                <c:pt idx="2">
                  <c:v>1.6363636363636365</c:v>
                </c:pt>
                <c:pt idx="3">
                  <c:v>3.6060606060606064</c:v>
                </c:pt>
                <c:pt idx="4">
                  <c:v>7.8181818181818192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9-4F26-8A2E-54BE10594C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74583680"/>
        <c:axId val="374651536"/>
      </c:barChart>
      <c:catAx>
        <c:axId val="374583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74651536"/>
        <c:crosses val="autoZero"/>
        <c:auto val="1"/>
        <c:lblAlgn val="ctr"/>
        <c:lblOffset val="100"/>
        <c:noMultiLvlLbl val="0"/>
      </c:catAx>
      <c:valAx>
        <c:axId val="374651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7458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Ocena łączna Sprint 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Results!$A$67:$A$71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Results!$A$67:$A$71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Results!$H$67:$H$71</c:f>
              <c:numCache>
                <c:formatCode>0.0</c:formatCode>
                <c:ptCount val="5"/>
                <c:pt idx="0">
                  <c:v>7.2727272727272743</c:v>
                </c:pt>
                <c:pt idx="1">
                  <c:v>4.0909090909090908</c:v>
                </c:pt>
                <c:pt idx="2">
                  <c:v>1.6363636363636365</c:v>
                </c:pt>
                <c:pt idx="3">
                  <c:v>4.2727272727272734</c:v>
                </c:pt>
                <c:pt idx="4">
                  <c:v>5.787878787878789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3-4536-A54D-5C3310DF2F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74703056"/>
        <c:axId val="374704704"/>
      </c:barChart>
      <c:catAx>
        <c:axId val="374703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74704704"/>
        <c:crosses val="autoZero"/>
        <c:auto val="1"/>
        <c:lblAlgn val="ctr"/>
        <c:lblOffset val="100"/>
        <c:noMultiLvlLbl val="0"/>
      </c:catAx>
      <c:valAx>
        <c:axId val="374704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747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Ocena łączna Sprint 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Results!$A$37</c:f>
              <c:strCache>
                <c:ptCount val="1"/>
                <c:pt idx="0">
                  <c:v>Sprint 26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Results!$A$40:$A$43</c:f>
              <c:strCache>
                <c:ptCount val="4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</c:strCache>
            </c:strRef>
          </c:cat>
          <c:val>
            <c:numRef>
              <c:f>Results!$H$40:$H$43</c:f>
              <c:numCache>
                <c:formatCode>0.0</c:formatCode>
                <c:ptCount val="4"/>
                <c:pt idx="0">
                  <c:v>7.0303030303030303</c:v>
                </c:pt>
                <c:pt idx="1">
                  <c:v>4.4545454545454541</c:v>
                </c:pt>
                <c:pt idx="2">
                  <c:v>1.6363636363636365</c:v>
                </c:pt>
                <c:pt idx="3">
                  <c:v>3.6363636363636367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1-4ADB-952D-EB689DA691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Ocena łączna Sprint 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Results!$A$46</c:f>
              <c:strCache>
                <c:ptCount val="1"/>
                <c:pt idx="0">
                  <c:v>Sprint 27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Results!$A$49:$A$53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Results!$H$49:$H$53</c:f>
              <c:numCache>
                <c:formatCode>0.0</c:formatCode>
                <c:ptCount val="5"/>
                <c:pt idx="0">
                  <c:v>8.1818181818181817</c:v>
                </c:pt>
                <c:pt idx="1">
                  <c:v>4.0909090909090908</c:v>
                </c:pt>
                <c:pt idx="2">
                  <c:v>1.6363636363636365</c:v>
                </c:pt>
                <c:pt idx="3">
                  <c:v>4.121212121212122</c:v>
                </c:pt>
                <c:pt idx="4">
                  <c:v>7.8181818181818192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7-4140-ADDB-D803B8FEF4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5C3DF">
                <a:alpha val="34118"/>
              </a:srgbClr>
            </a:solidFill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Results!$A$76:$A$80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Results!$H$76:$H$80</c:f>
              <c:numCache>
                <c:formatCode>0.0</c:formatCode>
                <c:ptCount val="5"/>
                <c:pt idx="0">
                  <c:v>7.3636363636363642</c:v>
                </c:pt>
                <c:pt idx="1">
                  <c:v>4.0909090909090908</c:v>
                </c:pt>
                <c:pt idx="2">
                  <c:v>1.6363636363636365</c:v>
                </c:pt>
                <c:pt idx="3">
                  <c:v>4.4545454545454541</c:v>
                </c:pt>
                <c:pt idx="4">
                  <c:v>5.3939393939393945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6-41EC-A59C-C3617758F3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Results!$A$82</c:f>
              <c:strCache>
                <c:ptCount val="1"/>
                <c:pt idx="0">
                  <c:v>Sprint 31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Results!$A$76:$A$80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Tomek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Results!$H$85:$H$89</c:f>
              <c:numCache>
                <c:formatCode>0.0</c:formatCode>
                <c:ptCount val="5"/>
                <c:pt idx="0">
                  <c:v>7.6363636363636367</c:v>
                </c:pt>
                <c:pt idx="1">
                  <c:v>4.2727272727272734</c:v>
                </c:pt>
                <c:pt idx="2">
                  <c:v>1.6363636363636365</c:v>
                </c:pt>
                <c:pt idx="3">
                  <c:v>3.0909090909090913</c:v>
                </c:pt>
                <c:pt idx="4">
                  <c:v>5.2424242424242431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D-4869-AD2F-BB2D5F5C91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Piotr's</a:t>
            </a:r>
            <a:r>
              <a:rPr lang="en-GB" baseline="0"/>
              <a:t>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Results!$F$238</c:f>
              <c:strCache>
                <c:ptCount val="1"/>
                <c:pt idx="0">
                  <c:v>Piotr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Results!$A$239:$A$250</c:f>
              <c:numCache>
                <c:formatCode>General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33</c:v>
                </c:pt>
                <c:pt idx="11">
                  <c:v>34</c:v>
                </c:pt>
              </c:numCache>
            </c:numRef>
          </c:xVal>
          <c:yVal>
            <c:numRef>
              <c:f>Results!$F$239:$F$250</c:f>
              <c:numCache>
                <c:formatCode>0.0</c:formatCode>
                <c:ptCount val="12"/>
                <c:pt idx="0">
                  <c:v>6.0000000000000009</c:v>
                </c:pt>
                <c:pt idx="1">
                  <c:v>5.4242424242424239</c:v>
                </c:pt>
                <c:pt idx="2">
                  <c:v>7.3636363636363642</c:v>
                </c:pt>
                <c:pt idx="3">
                  <c:v>3.2121212121212124</c:v>
                </c:pt>
                <c:pt idx="4">
                  <c:v>3.454545454545455</c:v>
                </c:pt>
                <c:pt idx="5">
                  <c:v>7.8181818181818192</c:v>
                </c:pt>
                <c:pt idx="6">
                  <c:v>7.8181818181818192</c:v>
                </c:pt>
                <c:pt idx="7">
                  <c:v>5.787878787878789</c:v>
                </c:pt>
                <c:pt idx="8">
                  <c:v>5.3939393939393945</c:v>
                </c:pt>
                <c:pt idx="9">
                  <c:v>5.2424242424242431</c:v>
                </c:pt>
                <c:pt idx="10">
                  <c:v>2.9090909090909092</c:v>
                </c:pt>
                <c:pt idx="11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1-4228-A724-291464AC6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68464"/>
        <c:axId val="482104672"/>
      </c:scatterChart>
      <c:valAx>
        <c:axId val="286968464"/>
        <c:scaling>
          <c:orientation val="minMax"/>
          <c:max val="34"/>
          <c:min val="2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2104672"/>
        <c:crosses val="autoZero"/>
        <c:crossBetween val="midCat"/>
        <c:majorUnit val="1"/>
        <c:minorUnit val="1"/>
      </c:valAx>
      <c:valAx>
        <c:axId val="4821046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86968464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Results!$A$91</c:f>
              <c:strCache>
                <c:ptCount val="1"/>
                <c:pt idx="0">
                  <c:v>Sprint 33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D075-4D78-88B1-00D90C5FA82C}"/>
              </c:ext>
            </c:extLst>
          </c:dPt>
          <c:dPt>
            <c:idx val="1"/>
            <c:invertIfNegative val="0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D075-4D78-88B1-00D90C5FA82C}"/>
              </c:ext>
            </c:extLst>
          </c:dPt>
          <c:dPt>
            <c:idx val="2"/>
            <c:invertIfNegative val="0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D075-4D78-88B1-00D90C5FA82C}"/>
              </c:ext>
            </c:extLst>
          </c:dPt>
          <c:dPt>
            <c:idx val="3"/>
            <c:invertIfNegative val="0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D075-4D78-88B1-00D90C5FA82C}"/>
              </c:ext>
            </c:extLst>
          </c:dPt>
          <c:dPt>
            <c:idx val="4"/>
            <c:invertIfNegative val="0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D075-4D78-88B1-00D90C5FA82C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Results!$A$94:$A$98</c:f>
              <c:strCache>
                <c:ptCount val="5"/>
                <c:pt idx="0">
                  <c:v>Marek</c:v>
                </c:pt>
                <c:pt idx="1">
                  <c:v>Gracjan</c:v>
                </c:pt>
                <c:pt idx="2">
                  <c:v>Hania</c:v>
                </c:pt>
                <c:pt idx="3">
                  <c:v>Paweł</c:v>
                </c:pt>
                <c:pt idx="4">
                  <c:v>Piotr</c:v>
                </c:pt>
              </c:strCache>
            </c:strRef>
          </c:cat>
          <c:val>
            <c:numRef>
              <c:f>Results!$H$94:$H$98</c:f>
              <c:numCache>
                <c:formatCode>0.0</c:formatCode>
                <c:ptCount val="5"/>
                <c:pt idx="0">
                  <c:v>8.7272727272727284</c:v>
                </c:pt>
                <c:pt idx="1">
                  <c:v>4.6363636363636367</c:v>
                </c:pt>
                <c:pt idx="2">
                  <c:v>7.6363636363636367</c:v>
                </c:pt>
                <c:pt idx="3">
                  <c:v>2.5757575757575757</c:v>
                </c:pt>
                <c:pt idx="4">
                  <c:v>2.9090909090909092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75-4D78-88B1-00D90C5FA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Results!$A$100</c:f>
              <c:strCache>
                <c:ptCount val="1"/>
                <c:pt idx="0">
                  <c:v>Sprint 34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40D-428D-8ADA-B7383C2ECE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40D-428D-8ADA-B7383C2ECE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40D-428D-8ADA-B7383C2ECE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40D-428D-8ADA-B7383C2ECED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Results!$A$104:$A$108</c:f>
              <c:strCache>
                <c:ptCount val="5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Piotr</c:v>
                </c:pt>
                <c:pt idx="4">
                  <c:v>Kamil</c:v>
                </c:pt>
              </c:strCache>
            </c:strRef>
          </c:cat>
          <c:val>
            <c:numRef>
              <c:f>Results!$H$104:$H$108</c:f>
              <c:numCache>
                <c:formatCode>0.0</c:formatCode>
                <c:ptCount val="5"/>
                <c:pt idx="0">
                  <c:v>7.0000000000000009</c:v>
                </c:pt>
                <c:pt idx="1">
                  <c:v>6.3939393939393936</c:v>
                </c:pt>
                <c:pt idx="2">
                  <c:v>6.6363636363636376</c:v>
                </c:pt>
                <c:pt idx="3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0D-428D-8ADA-B7383C2ECE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Results!$E$94</c:f>
              <c:strCache>
                <c:ptCount val="1"/>
                <c:pt idx="0">
                  <c:v>10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Results!$A$114:$A$117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Results!$H$114:$H$117</c:f>
              <c:numCache>
                <c:formatCode>0.0</c:formatCode>
                <c:ptCount val="4"/>
                <c:pt idx="0">
                  <c:v>7.6363636363636367</c:v>
                </c:pt>
                <c:pt idx="1">
                  <c:v>7.121212121212122</c:v>
                </c:pt>
                <c:pt idx="2">
                  <c:v>7.9090909090909092</c:v>
                </c:pt>
                <c:pt idx="3">
                  <c:v>7.5757575757575761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B-4DBC-B972-48162D2E0D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6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Results!$A$119</c:f>
              <c:strCache>
                <c:ptCount val="1"/>
                <c:pt idx="0">
                  <c:v>Sprint 36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B80-48D6-B607-79222A9C015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B80-48D6-B607-79222A9C015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B80-48D6-B607-79222A9C015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B80-48D6-B607-79222A9C015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Results!$A$123:$A$126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Results!$H$123:$H$126</c:f>
              <c:numCache>
                <c:formatCode>0.0</c:formatCode>
                <c:ptCount val="4"/>
                <c:pt idx="0">
                  <c:v>7.2121212121212128</c:v>
                </c:pt>
                <c:pt idx="1">
                  <c:v>6.8484848484848495</c:v>
                </c:pt>
                <c:pt idx="2">
                  <c:v>8.5757575757575761</c:v>
                </c:pt>
                <c:pt idx="3">
                  <c:v>5.0909090909090917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80-48D6-B607-79222A9C01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score</a:t>
            </a:r>
            <a:r>
              <a:rPr lang="pl-PL"/>
              <a:t> </a:t>
            </a:r>
            <a:r>
              <a:rPr lang="en-GB"/>
              <a:t>Sprint 3</a:t>
            </a:r>
            <a:r>
              <a:rPr lang="pl-PL"/>
              <a:t>7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Results!$A$120</c:f>
              <c:strCache>
                <c:ptCount val="1"/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Results!$A$123:$A$126</c:f>
              <c:strCache>
                <c:ptCount val="4"/>
                <c:pt idx="0">
                  <c:v>Gracjan</c:v>
                </c:pt>
                <c:pt idx="1">
                  <c:v>Hania</c:v>
                </c:pt>
                <c:pt idx="2">
                  <c:v>Paweł</c:v>
                </c:pt>
                <c:pt idx="3">
                  <c:v>Kamil</c:v>
                </c:pt>
              </c:strCache>
            </c:strRef>
          </c:cat>
          <c:val>
            <c:numRef>
              <c:f>Results!$H$132:$H$135</c:f>
              <c:numCache>
                <c:formatCode>0.0</c:formatCode>
                <c:ptCount val="4"/>
                <c:pt idx="0">
                  <c:v>7.121212121212122</c:v>
                </c:pt>
                <c:pt idx="1">
                  <c:v>3.8181818181818188</c:v>
                </c:pt>
                <c:pt idx="2">
                  <c:v>5.9090909090909092</c:v>
                </c:pt>
                <c:pt idx="3">
                  <c:v>7.9090909090909092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A-445E-9517-E96AF900F8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076816"/>
        <c:axId val="248039888"/>
      </c:barChart>
      <c:catAx>
        <c:axId val="24807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39888"/>
        <c:crosses val="autoZero"/>
        <c:auto val="1"/>
        <c:lblAlgn val="ctr"/>
        <c:lblOffset val="100"/>
        <c:noMultiLvlLbl val="0"/>
      </c:catAx>
      <c:valAx>
        <c:axId val="24803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480768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90766</xdr:colOff>
      <xdr:row>64</xdr:row>
      <xdr:rowOff>24624</xdr:rowOff>
    </xdr:from>
    <xdr:to>
      <xdr:col>25</xdr:col>
      <xdr:colOff>125915</xdr:colOff>
      <xdr:row>99</xdr:row>
      <xdr:rowOff>139004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845BA68-D6B5-FB2F-CFE5-D2F80E06ACF0}"/>
            </a:ext>
          </a:extLst>
        </xdr:cNvPr>
        <xdr:cNvGrpSpPr/>
      </xdr:nvGrpSpPr>
      <xdr:grpSpPr>
        <a:xfrm>
          <a:off x="747991" y="13083399"/>
          <a:ext cx="18808924" cy="7115255"/>
          <a:chOff x="718296" y="12945006"/>
          <a:chExt cx="18989787" cy="7174086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8D4B347E-12CD-48DF-B410-564D7DAF6BBA}"/>
              </a:ext>
            </a:extLst>
          </xdr:cNvPr>
          <xdr:cNvSpPr/>
        </xdr:nvSpPr>
        <xdr:spPr>
          <a:xfrm>
            <a:off x="718296" y="12945006"/>
            <a:ext cx="18989787" cy="7174086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AE9BA056-C85F-7744-B4C8-E0183E58FD12}"/>
              </a:ext>
              <a:ext uri="{147F2762-F138-4A5C-976F-8EAC2B608ADB}">
                <a16:predDERef xmlns:a16="http://schemas.microsoft.com/office/drawing/2014/main" pred="{E782F00D-D889-6549-AB0B-74B4AA456E62}"/>
              </a:ext>
            </a:extLst>
          </xdr:cNvPr>
          <xdr:cNvGraphicFramePr>
            <a:graphicFrameLocks/>
          </xdr:cNvGraphicFramePr>
        </xdr:nvGraphicFramePr>
        <xdr:xfrm>
          <a:off x="842858" y="13077826"/>
          <a:ext cx="18781868" cy="6819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13</xdr:col>
      <xdr:colOff>705437</xdr:colOff>
      <xdr:row>44</xdr:row>
      <xdr:rowOff>190500</xdr:rowOff>
    </xdr:from>
    <xdr:to>
      <xdr:col>23</xdr:col>
      <xdr:colOff>179277</xdr:colOff>
      <xdr:row>61</xdr:row>
      <xdr:rowOff>124369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83CDD3A-D053-F07A-D093-EA2DA103D147}"/>
            </a:ext>
            <a:ext uri="{147F2762-F138-4A5C-976F-8EAC2B608ADB}">
              <a16:predDERef xmlns:a16="http://schemas.microsoft.com/office/drawing/2014/main" pred="{8845BA68-D6B5-FB2F-CFE5-D2F80E06ACF0}"/>
            </a:ext>
          </a:extLst>
        </xdr:cNvPr>
        <xdr:cNvGrpSpPr/>
      </xdr:nvGrpSpPr>
      <xdr:grpSpPr>
        <a:xfrm>
          <a:off x="10420937" y="9163050"/>
          <a:ext cx="7646290" cy="3334294"/>
          <a:chOff x="677340" y="5484664"/>
          <a:chExt cx="5950667" cy="2966194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EB1C9845-DEF9-4BFB-ACDA-F8D248B33F18}"/>
              </a:ext>
            </a:extLst>
          </xdr:cNvPr>
          <xdr:cNvSpPr/>
        </xdr:nvSpPr>
        <xdr:spPr>
          <a:xfrm>
            <a:off x="677340" y="5484664"/>
            <a:ext cx="5950667" cy="2966194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144DCC0-C5F2-BF47-9B8B-AA2038EAC376}"/>
              </a:ext>
              <a:ext uri="{147F2762-F138-4A5C-976F-8EAC2B608ADB}">
                <a16:predDERef xmlns:a16="http://schemas.microsoft.com/office/drawing/2014/main" pred="{9D06CF04-D374-47EC-AAAF-8B42DB4070DB}"/>
              </a:ext>
            </a:extLst>
          </xdr:cNvPr>
          <xdr:cNvGraphicFramePr>
            <a:graphicFrameLocks/>
          </xdr:cNvGraphicFramePr>
        </xdr:nvGraphicFramePr>
        <xdr:xfrm>
          <a:off x="744490" y="5562060"/>
          <a:ext cx="5788631" cy="28073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845549</xdr:colOff>
      <xdr:row>27</xdr:row>
      <xdr:rowOff>97156</xdr:rowOff>
    </xdr:from>
    <xdr:to>
      <xdr:col>12</xdr:col>
      <xdr:colOff>350185</xdr:colOff>
      <xdr:row>44</xdr:row>
      <xdr:rowOff>22652</xdr:rowOff>
    </xdr:to>
    <xdr:grpSp>
      <xdr:nvGrpSpPr>
        <xdr:cNvPr id="36" name="Group 28">
          <a:extLst>
            <a:ext uri="{FF2B5EF4-FFF2-40B4-BE49-F238E27FC236}">
              <a16:creationId xmlns:a16="http://schemas.microsoft.com/office/drawing/2014/main" id="{87655274-FACC-2C2C-CACE-644705CAD043}"/>
            </a:ext>
            <a:ext uri="{147F2762-F138-4A5C-976F-8EAC2B608ADB}">
              <a16:predDERef xmlns:a16="http://schemas.microsoft.com/office/drawing/2014/main" pred="{783CDD3A-D053-F07A-D093-EA2DA103D147}"/>
            </a:ext>
          </a:extLst>
        </xdr:cNvPr>
        <xdr:cNvGrpSpPr/>
      </xdr:nvGrpSpPr>
      <xdr:grpSpPr>
        <a:xfrm>
          <a:off x="1502774" y="5669281"/>
          <a:ext cx="7677086" cy="3325921"/>
          <a:chOff x="7115735" y="5468471"/>
          <a:chExt cx="5951486" cy="3057114"/>
        </a:xfrm>
      </xdr:grpSpPr>
      <xdr:sp macro="" textlink="">
        <xdr:nvSpPr>
          <xdr:cNvPr id="37" name="Rectangle 21">
            <a:extLst>
              <a:ext uri="{FF2B5EF4-FFF2-40B4-BE49-F238E27FC236}">
                <a16:creationId xmlns:a16="http://schemas.microsoft.com/office/drawing/2014/main" id="{F4E19B2A-5980-459D-9E35-CBD1A674EAC1}"/>
              </a:ext>
            </a:extLst>
          </xdr:cNvPr>
          <xdr:cNvSpPr/>
        </xdr:nvSpPr>
        <xdr:spPr>
          <a:xfrm>
            <a:off x="7115735" y="5468471"/>
            <a:ext cx="5951486" cy="3057114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38" name="Chart 7">
            <a:extLst>
              <a:ext uri="{FF2B5EF4-FFF2-40B4-BE49-F238E27FC236}">
                <a16:creationId xmlns:a16="http://schemas.microsoft.com/office/drawing/2014/main" id="{E9AC76E1-E977-4245-AB0E-FB2B603D57CA}"/>
              </a:ext>
              <a:ext uri="{147F2762-F138-4A5C-976F-8EAC2B608ADB}">
                <a16:predDERef xmlns:a16="http://schemas.microsoft.com/office/drawing/2014/main" pred="{5144DCC0-C5F2-BF47-9B8B-AA2038EAC376}"/>
              </a:ext>
            </a:extLst>
          </xdr:cNvPr>
          <xdr:cNvGraphicFramePr>
            <a:graphicFrameLocks/>
          </xdr:cNvGraphicFramePr>
        </xdr:nvGraphicFramePr>
        <xdr:xfrm>
          <a:off x="7168042" y="5563613"/>
          <a:ext cx="5794346" cy="2879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</xdr:col>
      <xdr:colOff>816430</xdr:colOff>
      <xdr:row>45</xdr:row>
      <xdr:rowOff>1137</xdr:rowOff>
    </xdr:from>
    <xdr:to>
      <xdr:col>12</xdr:col>
      <xdr:colOff>332234</xdr:colOff>
      <xdr:row>61</xdr:row>
      <xdr:rowOff>124369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E054682-BF39-3F70-DEF2-18050EE2BBE6}"/>
            </a:ext>
            <a:ext uri="{147F2762-F138-4A5C-976F-8EAC2B608ADB}">
              <a16:predDERef xmlns:a16="http://schemas.microsoft.com/office/drawing/2014/main" pred="{87655274-FACC-2C2C-CACE-644705CAD043}"/>
            </a:ext>
          </a:extLst>
        </xdr:cNvPr>
        <xdr:cNvGrpSpPr/>
      </xdr:nvGrpSpPr>
      <xdr:grpSpPr>
        <a:xfrm>
          <a:off x="1473655" y="9173712"/>
          <a:ext cx="7688254" cy="3323632"/>
          <a:chOff x="7115735" y="8897471"/>
          <a:chExt cx="5951486" cy="3055209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C500C5C-6824-46B0-86AC-3B9A58708C3F}"/>
              </a:ext>
            </a:extLst>
          </xdr:cNvPr>
          <xdr:cNvSpPr/>
        </xdr:nvSpPr>
        <xdr:spPr>
          <a:xfrm>
            <a:off x="7115735" y="8897471"/>
            <a:ext cx="5951486" cy="305520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5" name="Chart 8">
            <a:extLst>
              <a:ext uri="{FF2B5EF4-FFF2-40B4-BE49-F238E27FC236}">
                <a16:creationId xmlns:a16="http://schemas.microsoft.com/office/drawing/2014/main" id="{3CD30313-D802-9343-80A0-4FC16A42689B}"/>
              </a:ext>
              <a:ext uri="{147F2762-F138-4A5C-976F-8EAC2B608ADB}">
                <a16:predDERef xmlns:a16="http://schemas.microsoft.com/office/drawing/2014/main" pred="{E9AC76E1-E977-4245-AB0E-FB2B603D57CA}"/>
              </a:ext>
            </a:extLst>
          </xdr:cNvPr>
          <xdr:cNvGraphicFramePr>
            <a:graphicFrameLocks/>
          </xdr:cNvGraphicFramePr>
        </xdr:nvGraphicFramePr>
        <xdr:xfrm>
          <a:off x="7170514" y="8952025"/>
          <a:ext cx="5781936" cy="2863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13</xdr:col>
      <xdr:colOff>701627</xdr:colOff>
      <xdr:row>27</xdr:row>
      <xdr:rowOff>98031</xdr:rowOff>
    </xdr:from>
    <xdr:to>
      <xdr:col>23</xdr:col>
      <xdr:colOff>219574</xdr:colOff>
      <xdr:row>44</xdr:row>
      <xdr:rowOff>6277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B606C096-983D-9F28-34BB-AED162B664E3}"/>
            </a:ext>
            <a:ext uri="{147F2762-F138-4A5C-976F-8EAC2B608ADB}">
              <a16:predDERef xmlns:a16="http://schemas.microsoft.com/office/drawing/2014/main" pred="{2E054682-BF39-3F70-DEF2-18050EE2BBE6}"/>
            </a:ext>
          </a:extLst>
        </xdr:cNvPr>
        <xdr:cNvGrpSpPr/>
      </xdr:nvGrpSpPr>
      <xdr:grpSpPr>
        <a:xfrm>
          <a:off x="10417127" y="5670156"/>
          <a:ext cx="7690397" cy="3308671"/>
          <a:chOff x="13291126" y="2233958"/>
          <a:chExt cx="5944270" cy="3054251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F37A62D1-99CF-42F2-BADB-794A2BC77A9A}"/>
              </a:ext>
            </a:extLst>
          </xdr:cNvPr>
          <xdr:cNvSpPr/>
        </xdr:nvSpPr>
        <xdr:spPr>
          <a:xfrm>
            <a:off x="13291126" y="2233958"/>
            <a:ext cx="5944270" cy="305425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6" name="Chart 9">
            <a:extLst>
              <a:ext uri="{FF2B5EF4-FFF2-40B4-BE49-F238E27FC236}">
                <a16:creationId xmlns:a16="http://schemas.microsoft.com/office/drawing/2014/main" id="{44FC7E54-7A44-DE44-A14C-D0B287D76EE9}"/>
              </a:ext>
              <a:ext uri="{147F2762-F138-4A5C-976F-8EAC2B608ADB}">
                <a16:predDERef xmlns:a16="http://schemas.microsoft.com/office/drawing/2014/main" pred="{3CD30313-D802-9343-80A0-4FC16A42689B}"/>
              </a:ext>
            </a:extLst>
          </xdr:cNvPr>
          <xdr:cNvGraphicFramePr>
            <a:graphicFrameLocks/>
          </xdr:cNvGraphicFramePr>
        </xdr:nvGraphicFramePr>
        <xdr:xfrm>
          <a:off x="13378940" y="2318922"/>
          <a:ext cx="5769537" cy="2868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 editAs="oneCell">
    <xdr:from>
      <xdr:col>1</xdr:col>
      <xdr:colOff>168388</xdr:colOff>
      <xdr:row>1</xdr:row>
      <xdr:rowOff>103957</xdr:rowOff>
    </xdr:from>
    <xdr:to>
      <xdr:col>4</xdr:col>
      <xdr:colOff>134695</xdr:colOff>
      <xdr:row>3</xdr:row>
      <xdr:rowOff>96895</xdr:rowOff>
    </xdr:to>
    <xdr:pic>
      <xdr:nvPicPr>
        <xdr:cNvPr id="8" name="Obraz 1">
          <a:extLst>
            <a:ext uri="{FF2B5EF4-FFF2-40B4-BE49-F238E27FC236}">
              <a16:creationId xmlns:a16="http://schemas.microsoft.com/office/drawing/2014/main" id="{81CE496D-FE9D-4A88-A40A-687DB673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329" y="316869"/>
          <a:ext cx="2140024" cy="396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320553</xdr:colOff>
      <xdr:row>7</xdr:row>
      <xdr:rowOff>56029</xdr:rowOff>
    </xdr:from>
    <xdr:to>
      <xdr:col>24</xdr:col>
      <xdr:colOff>584319</xdr:colOff>
      <xdr:row>22</xdr:row>
      <xdr:rowOff>76569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2DC11306-CA18-164F-4956-BB3C0CCFC612}"/>
            </a:ext>
          </a:extLst>
        </xdr:cNvPr>
        <xdr:cNvGrpSpPr/>
      </xdr:nvGrpSpPr>
      <xdr:grpSpPr>
        <a:xfrm>
          <a:off x="13446003" y="1580029"/>
          <a:ext cx="5912091" cy="3020915"/>
          <a:chOff x="13537960" y="1627066"/>
          <a:chExt cx="5955248" cy="3124984"/>
        </a:xfrm>
      </xdr:grpSpPr>
      <xdr:sp macro="" textlink="">
        <xdr:nvSpPr>
          <xdr:cNvPr id="39" name="Rectangle 11">
            <a:extLst>
              <a:ext uri="{FF2B5EF4-FFF2-40B4-BE49-F238E27FC236}">
                <a16:creationId xmlns:a16="http://schemas.microsoft.com/office/drawing/2014/main" id="{40FF2113-88A3-4A95-8537-FE733ECEF2C7}"/>
              </a:ext>
              <a:ext uri="{147F2762-F138-4A5C-976F-8EAC2B608ADB}">
                <a16:predDERef xmlns:a16="http://schemas.microsoft.com/office/drawing/2014/main" pred="{B606C096-983D-9F28-34BB-AED162B664E3}"/>
              </a:ext>
            </a:extLst>
          </xdr:cNvPr>
          <xdr:cNvSpPr/>
        </xdr:nvSpPr>
        <xdr:spPr>
          <a:xfrm>
            <a:off x="13537960" y="1627066"/>
            <a:ext cx="5955248" cy="3124984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19" name="Chart 4">
            <a:extLst>
              <a:ext uri="{FF2B5EF4-FFF2-40B4-BE49-F238E27FC236}">
                <a16:creationId xmlns:a16="http://schemas.microsoft.com/office/drawing/2014/main" id="{E969BC97-4122-4308-9992-37B523E180A7}"/>
              </a:ext>
              <a:ext uri="{147F2762-F138-4A5C-976F-8EAC2B608ADB}">
                <a16:predDERef xmlns:a16="http://schemas.microsoft.com/office/drawing/2014/main" pred="{BED8982F-0476-5635-1922-A640DCE67808}"/>
              </a:ext>
            </a:extLst>
          </xdr:cNvPr>
          <xdr:cNvGraphicFramePr>
            <a:graphicFrameLocks/>
          </xdr:cNvGraphicFramePr>
        </xdr:nvGraphicFramePr>
        <xdr:xfrm>
          <a:off x="13628047" y="1693036"/>
          <a:ext cx="5761513" cy="29309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2</xdr:col>
      <xdr:colOff>6668</xdr:colOff>
      <xdr:row>7</xdr:row>
      <xdr:rowOff>29934</xdr:rowOff>
    </xdr:from>
    <xdr:to>
      <xdr:col>8</xdr:col>
      <xdr:colOff>582402</xdr:colOff>
      <xdr:row>22</xdr:row>
      <xdr:rowOff>49761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B1A03FD3-4B95-D75A-4FE4-EE11576682D8}"/>
            </a:ext>
          </a:extLst>
        </xdr:cNvPr>
        <xdr:cNvGrpSpPr/>
      </xdr:nvGrpSpPr>
      <xdr:grpSpPr>
        <a:xfrm>
          <a:off x="663893" y="1553934"/>
          <a:ext cx="5890684" cy="3020202"/>
          <a:chOff x="665187" y="1600971"/>
          <a:chExt cx="5937956" cy="3124271"/>
        </a:xfrm>
      </xdr:grpSpPr>
      <xdr:sp macro="" textlink="">
        <xdr:nvSpPr>
          <xdr:cNvPr id="47" name="Rectangle 8">
            <a:extLst>
              <a:ext uri="{FF2B5EF4-FFF2-40B4-BE49-F238E27FC236}">
                <a16:creationId xmlns:a16="http://schemas.microsoft.com/office/drawing/2014/main" id="{C130A6B5-67B0-0DBE-262D-BB2C810E1CEB}"/>
              </a:ext>
              <a:ext uri="{147F2762-F138-4A5C-976F-8EAC2B608ADB}">
                <a16:predDERef xmlns:a16="http://schemas.microsoft.com/office/drawing/2014/main" pred="{81CE496D-FE9D-4A88-A40A-687DB6732AAA}"/>
              </a:ext>
            </a:extLst>
          </xdr:cNvPr>
          <xdr:cNvSpPr/>
        </xdr:nvSpPr>
        <xdr:spPr>
          <a:xfrm>
            <a:off x="665187" y="1600971"/>
            <a:ext cx="5937956" cy="312427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0" i="0" u="none" strike="noStrike">
                <a:solidFill>
                  <a:schemeClr val="lt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</a:p>
        </xdr:txBody>
      </xdr:sp>
      <xdr:graphicFrame macro="">
        <xdr:nvGraphicFramePr>
          <xdr:cNvPr id="49" name="Chart 4">
            <a:extLst>
              <a:ext uri="{FF2B5EF4-FFF2-40B4-BE49-F238E27FC236}">
                <a16:creationId xmlns:a16="http://schemas.microsoft.com/office/drawing/2014/main" id="{A87CF348-B5D5-429E-B63C-A28EEAA11C73}"/>
              </a:ext>
              <a:ext uri="{147F2762-F138-4A5C-976F-8EAC2B608ADB}">
                <a16:predDERef xmlns:a16="http://schemas.microsoft.com/office/drawing/2014/main" pred="{E969BC97-4122-4308-9992-37B523E180A7}"/>
              </a:ext>
            </a:extLst>
          </xdr:cNvPr>
          <xdr:cNvGraphicFramePr>
            <a:graphicFrameLocks/>
          </xdr:cNvGraphicFramePr>
        </xdr:nvGraphicFramePr>
        <xdr:xfrm>
          <a:off x="726451" y="1658586"/>
          <a:ext cx="5768162" cy="29535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10</xdr:col>
      <xdr:colOff>112563</xdr:colOff>
      <xdr:row>7</xdr:row>
      <xdr:rowOff>17608</xdr:rowOff>
    </xdr:from>
    <xdr:to>
      <xdr:col>16</xdr:col>
      <xdr:colOff>687081</xdr:colOff>
      <xdr:row>22</xdr:row>
      <xdr:rowOff>41025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41E9C1E3-1C8B-010A-499A-32ECC4ABF504}"/>
            </a:ext>
          </a:extLst>
        </xdr:cNvPr>
        <xdr:cNvGrpSpPr/>
      </xdr:nvGrpSpPr>
      <xdr:grpSpPr>
        <a:xfrm>
          <a:off x="7170588" y="1541608"/>
          <a:ext cx="5889468" cy="3023792"/>
          <a:chOff x="7215156" y="1588645"/>
          <a:chExt cx="5936740" cy="3127861"/>
        </a:xfrm>
      </xdr:grpSpPr>
      <xdr:sp macro="" textlink="">
        <xdr:nvSpPr>
          <xdr:cNvPr id="40" name="Rectangle 10">
            <a:extLst>
              <a:ext uri="{FF2B5EF4-FFF2-40B4-BE49-F238E27FC236}">
                <a16:creationId xmlns:a16="http://schemas.microsoft.com/office/drawing/2014/main" id="{BED8982F-0476-5635-1922-A640DCE67808}"/>
              </a:ext>
              <a:ext uri="{147F2762-F138-4A5C-976F-8EAC2B608ADB}">
                <a16:predDERef xmlns:a16="http://schemas.microsoft.com/office/drawing/2014/main" pred="{81CE496D-FE9D-4A88-A40A-687DB6732AAA}"/>
              </a:ext>
            </a:extLst>
          </xdr:cNvPr>
          <xdr:cNvSpPr/>
        </xdr:nvSpPr>
        <xdr:spPr>
          <a:xfrm>
            <a:off x="7215156" y="1588645"/>
            <a:ext cx="5936740" cy="3127861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Chart 4">
            <a:extLst>
              <a:ext uri="{FF2B5EF4-FFF2-40B4-BE49-F238E27FC236}">
                <a16:creationId xmlns:a16="http://schemas.microsoft.com/office/drawing/2014/main" id="{9D7270D8-E7EB-4A91-97D7-280459F84F60}"/>
              </a:ext>
              <a:ext uri="{147F2762-F138-4A5C-976F-8EAC2B608ADB}">
                <a16:predDERef xmlns:a16="http://schemas.microsoft.com/office/drawing/2014/main" pred="{A87CF348-B5D5-429E-B63C-A28EEAA11C73}"/>
              </a:ext>
            </a:extLst>
          </xdr:cNvPr>
          <xdr:cNvGraphicFramePr>
            <a:graphicFrameLocks/>
          </xdr:cNvGraphicFramePr>
        </xdr:nvGraphicFramePr>
        <xdr:xfrm>
          <a:off x="7298704" y="1666681"/>
          <a:ext cx="5757703" cy="29328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219149</xdr:colOff>
      <xdr:row>0</xdr:row>
      <xdr:rowOff>95250</xdr:rowOff>
    </xdr:from>
    <xdr:to>
      <xdr:col>23</xdr:col>
      <xdr:colOff>533234</xdr:colOff>
      <xdr:row>17</xdr:row>
      <xdr:rowOff>113260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7085FAB-4764-44A7-A5E7-CBC68A21D2F6}"/>
            </a:ext>
            <a:ext uri="{147F2762-F138-4A5C-976F-8EAC2B608ADB}">
              <a16:predDERef xmlns:a16="http://schemas.microsoft.com/office/drawing/2014/main" pred="{2BD69FE2-134E-ED47-88AF-C450BA9D0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30057</xdr:colOff>
      <xdr:row>0</xdr:row>
      <xdr:rowOff>74719</xdr:rowOff>
    </xdr:from>
    <xdr:to>
      <xdr:col>32</xdr:col>
      <xdr:colOff>131417</xdr:colOff>
      <xdr:row>17</xdr:row>
      <xdr:rowOff>96539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19378C8-7055-4781-B138-F8951D2E0639}"/>
            </a:ext>
            <a:ext uri="{147F2762-F138-4A5C-976F-8EAC2B608ADB}">
              <a16:predDERef xmlns:a16="http://schemas.microsoft.com/office/drawing/2014/main" pred="{67085FAB-4764-44A7-A5E7-CBC68A21D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78127</xdr:colOff>
      <xdr:row>0</xdr:row>
      <xdr:rowOff>65722</xdr:rowOff>
    </xdr:from>
    <xdr:to>
      <xdr:col>8</xdr:col>
      <xdr:colOff>215963</xdr:colOff>
      <xdr:row>17</xdr:row>
      <xdr:rowOff>41822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3E634F4C-3F82-4E40-9E2D-B009D91DCD7E}"/>
            </a:ext>
            <a:ext uri="{147F2762-F138-4A5C-976F-8EAC2B608ADB}">
              <a16:predDERef xmlns:a16="http://schemas.microsoft.com/office/drawing/2014/main" pred="{019378C8-7055-4781-B138-F8951D2E0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398853</xdr:colOff>
      <xdr:row>0</xdr:row>
      <xdr:rowOff>76200</xdr:rowOff>
    </xdr:from>
    <xdr:to>
      <xdr:col>16</xdr:col>
      <xdr:colOff>47775</xdr:colOff>
      <xdr:row>17</xdr:row>
      <xdr:rowOff>98020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88AAE6E0-36BB-4906-826B-68FC287CC8F6}"/>
            </a:ext>
            <a:ext uri="{147F2762-F138-4A5C-976F-8EAC2B608ADB}">
              <a16:predDERef xmlns:a16="http://schemas.microsoft.com/office/drawing/2014/main" pred="{3E634F4C-3F82-4E40-9E2D-B009D91DC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110033</xdr:colOff>
      <xdr:row>18</xdr:row>
      <xdr:rowOff>61218</xdr:rowOff>
    </xdr:from>
    <xdr:to>
      <xdr:col>9</xdr:col>
      <xdr:colOff>68423</xdr:colOff>
      <xdr:row>33</xdr:row>
      <xdr:rowOff>116006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35BC211-EB85-4356-8FC0-3EDAB1AF073A}"/>
            </a:ext>
            <a:ext uri="{147F2762-F138-4A5C-976F-8EAC2B608ADB}">
              <a16:predDERef xmlns:a16="http://schemas.microsoft.com/office/drawing/2014/main" pred="{88AAE6E0-36BB-4906-826B-68FC287CC8F6}"/>
            </a:ext>
          </a:extLst>
        </xdr:cNvPr>
        <xdr:cNvGrpSpPr/>
      </xdr:nvGrpSpPr>
      <xdr:grpSpPr>
        <a:xfrm>
          <a:off x="110033" y="3661668"/>
          <a:ext cx="6044865" cy="3055163"/>
          <a:chOff x="13570324" y="1546412"/>
          <a:chExt cx="5962915" cy="3041875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C4EB04F-64D8-87B2-6295-CF8AAB9DFBE1}"/>
              </a:ext>
            </a:extLst>
          </xdr:cNvPr>
          <xdr:cNvSpPr/>
        </xdr:nvSpPr>
        <xdr:spPr>
          <a:xfrm>
            <a:off x="13570324" y="1546412"/>
            <a:ext cx="5962915" cy="3041875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8" name="Chart 4">
            <a:extLst>
              <a:ext uri="{FF2B5EF4-FFF2-40B4-BE49-F238E27FC236}">
                <a16:creationId xmlns:a16="http://schemas.microsoft.com/office/drawing/2014/main" id="{328F7A37-4854-01AE-F455-01C54A8475F0}"/>
              </a:ext>
              <a:ext uri="{147F2762-F138-4A5C-976F-8EAC2B608ADB}">
                <a16:predDERef xmlns:a16="http://schemas.microsoft.com/office/drawing/2014/main" pred="{09D79A26-0CE5-E341-AEC2-8664F0178851}"/>
              </a:ext>
            </a:extLst>
          </xdr:cNvPr>
          <xdr:cNvGraphicFramePr>
            <a:graphicFrameLocks/>
          </xdr:cNvGraphicFramePr>
        </xdr:nvGraphicFramePr>
        <xdr:xfrm>
          <a:off x="13658393" y="1627334"/>
          <a:ext cx="5781091" cy="28687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9</xdr:col>
      <xdr:colOff>296334</xdr:colOff>
      <xdr:row>18</xdr:row>
      <xdr:rowOff>42333</xdr:rowOff>
    </xdr:from>
    <xdr:to>
      <xdr:col>18</xdr:col>
      <xdr:colOff>273516</xdr:colOff>
      <xdr:row>33</xdr:row>
      <xdr:rowOff>125567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9A0611A-2677-4D25-B5CC-54D36A422135}"/>
            </a:ext>
            <a:ext uri="{147F2762-F138-4A5C-976F-8EAC2B608ADB}">
              <a16:predDERef xmlns:a16="http://schemas.microsoft.com/office/drawing/2014/main" pred="{D35BC211-EB85-4356-8FC0-3EDAB1AF073A}"/>
            </a:ext>
          </a:extLst>
        </xdr:cNvPr>
        <xdr:cNvGrpSpPr/>
      </xdr:nvGrpSpPr>
      <xdr:grpSpPr>
        <a:xfrm>
          <a:off x="6382809" y="3642783"/>
          <a:ext cx="6063657" cy="3083609"/>
          <a:chOff x="7115735" y="1546412"/>
          <a:chExt cx="5962916" cy="304187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196FB20-54FF-F92F-36BC-86B65D296CD1}"/>
              </a:ext>
            </a:extLst>
          </xdr:cNvPr>
          <xdr:cNvSpPr/>
        </xdr:nvSpPr>
        <xdr:spPr>
          <a:xfrm>
            <a:off x="7115735" y="1546412"/>
            <a:ext cx="5962916" cy="3041875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12" name="Chart 4">
            <a:extLst>
              <a:ext uri="{FF2B5EF4-FFF2-40B4-BE49-F238E27FC236}">
                <a16:creationId xmlns:a16="http://schemas.microsoft.com/office/drawing/2014/main" id="{E541DE24-C188-2D90-5278-BFB7F8EB8D30}"/>
              </a:ext>
              <a:ext uri="{147F2762-F138-4A5C-976F-8EAC2B608ADB}">
                <a16:predDERef xmlns:a16="http://schemas.microsoft.com/office/drawing/2014/main" pred="{09D79A26-0CE5-E341-AEC2-8664F0178851}"/>
              </a:ext>
            </a:extLst>
          </xdr:cNvPr>
          <xdr:cNvGraphicFramePr>
            <a:graphicFrameLocks/>
          </xdr:cNvGraphicFramePr>
        </xdr:nvGraphicFramePr>
        <xdr:xfrm>
          <a:off x="7212074" y="1620978"/>
          <a:ext cx="5777201" cy="28740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0</xdr:colOff>
      <xdr:row>69</xdr:row>
      <xdr:rowOff>10584</xdr:rowOff>
    </xdr:from>
    <xdr:to>
      <xdr:col>8</xdr:col>
      <xdr:colOff>627091</xdr:colOff>
      <xdr:row>84</xdr:row>
      <xdr:rowOff>71381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2ABAA89-419B-46CD-AE86-3D7F0FBF9852}"/>
            </a:ext>
            <a:ext uri="{147F2762-F138-4A5C-976F-8EAC2B608ADB}">
              <a16:predDERef xmlns:a16="http://schemas.microsoft.com/office/drawing/2014/main" pred="{B9A0611A-2677-4D25-B5CC-54D36A422135}"/>
            </a:ext>
          </a:extLst>
        </xdr:cNvPr>
        <xdr:cNvGrpSpPr/>
      </xdr:nvGrpSpPr>
      <xdr:grpSpPr>
        <a:xfrm>
          <a:off x="0" y="13812309"/>
          <a:ext cx="6037291" cy="3061172"/>
          <a:chOff x="696866" y="8948867"/>
          <a:chExt cx="5955290" cy="305437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573C3C7-F98F-1BBD-22D2-FC1F130372B3}"/>
              </a:ext>
            </a:extLst>
          </xdr:cNvPr>
          <xdr:cNvSpPr/>
        </xdr:nvSpPr>
        <xdr:spPr>
          <a:xfrm>
            <a:off x="696866" y="8948867"/>
            <a:ext cx="5955290" cy="305437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15" name="Chart 10">
            <a:extLst>
              <a:ext uri="{FF2B5EF4-FFF2-40B4-BE49-F238E27FC236}">
                <a16:creationId xmlns:a16="http://schemas.microsoft.com/office/drawing/2014/main" id="{6E2C46BC-5544-C234-D2A8-A4D2959FF994}"/>
              </a:ext>
              <a:ext uri="{147F2762-F138-4A5C-976F-8EAC2B608ADB}">
                <a16:predDERef xmlns:a16="http://schemas.microsoft.com/office/drawing/2014/main" pred="{44FC7E54-7A44-DE44-A14C-D0B287D76EE9}"/>
              </a:ext>
            </a:extLst>
          </xdr:cNvPr>
          <xdr:cNvGraphicFramePr>
            <a:graphicFrameLocks/>
          </xdr:cNvGraphicFramePr>
        </xdr:nvGraphicFramePr>
        <xdr:xfrm>
          <a:off x="765311" y="9012823"/>
          <a:ext cx="5780893" cy="28690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18</xdr:col>
      <xdr:colOff>603250</xdr:colOff>
      <xdr:row>18</xdr:row>
      <xdr:rowOff>116416</xdr:rowOff>
    </xdr:from>
    <xdr:to>
      <xdr:col>27</xdr:col>
      <xdr:colOff>400463</xdr:colOff>
      <xdr:row>33</xdr:row>
      <xdr:rowOff>13796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B073E471-8FE6-4DBA-ACC9-52BFCF8AE130}"/>
            </a:ext>
            <a:ext uri="{147F2762-F138-4A5C-976F-8EAC2B608ADB}">
              <a16:predDERef xmlns:a16="http://schemas.microsoft.com/office/drawing/2014/main" pred="{E2ABAA89-419B-46CD-AE86-3D7F0FBF9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460369</xdr:colOff>
      <xdr:row>50</xdr:row>
      <xdr:rowOff>94588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10B079E5-01BA-4371-B8FC-515CC13B1B56}"/>
            </a:ext>
            <a:ext uri="{147F2762-F138-4A5C-976F-8EAC2B608ADB}">
              <a16:predDERef xmlns:a16="http://schemas.microsoft.com/office/drawing/2014/main" pred="{B073E471-8FE6-4DBA-ACC9-52BFCF8AE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17</xdr:col>
      <xdr:colOff>431442</xdr:colOff>
      <xdr:row>50</xdr:row>
      <xdr:rowOff>76555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FEFFFC33-B3A5-4607-ADA6-511B0875AAF9}"/>
            </a:ext>
            <a:ext uri="{147F2762-F138-4A5C-976F-8EAC2B608ADB}">
              <a16:predDERef xmlns:a16="http://schemas.microsoft.com/office/drawing/2014/main" pred="{10B079E5-01BA-4371-B8FC-515CC13B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298178</xdr:colOff>
      <xdr:row>35</xdr:row>
      <xdr:rowOff>185105</xdr:rowOff>
    </xdr:from>
    <xdr:to>
      <xdr:col>27</xdr:col>
      <xdr:colOff>56436</xdr:colOff>
      <xdr:row>50</xdr:row>
      <xdr:rowOff>41683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D1BC784B-4F3E-4E2F-9604-C7113B62FB31}"/>
            </a:ext>
            <a:ext uri="{147F2762-F138-4A5C-976F-8EAC2B608ADB}">
              <a16:predDERef xmlns:a16="http://schemas.microsoft.com/office/drawing/2014/main" pred="{FEFFFC33-B3A5-4607-ADA6-511B0875A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3810</xdr:colOff>
      <xdr:row>51</xdr:row>
      <xdr:rowOff>130810</xdr:rowOff>
    </xdr:from>
    <xdr:to>
      <xdr:col>8</xdr:col>
      <xdr:colOff>407863</xdr:colOff>
      <xdr:row>65</xdr:row>
      <xdr:rowOff>180851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0575902E-507A-44B7-AB4F-A04ADF8B720C}"/>
            </a:ext>
            <a:ext uri="{147F2762-F138-4A5C-976F-8EAC2B608ADB}">
              <a16:predDERef xmlns:a16="http://schemas.microsoft.com/office/drawing/2014/main" pred="{D1BC784B-4F3E-4E2F-9604-C7113B62F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ek Mróz" id="{7EF39E17-B76E-43BC-8E3A-24FD49936B27}" userId="S::marek.mroz@cloudflight.io::f31fab45-e0a2-4829-b944-9e786e699c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1-18T11:56:29.46" personId="{7EF39E17-B76E-43BC-8E3A-24FD49936B27}" id="{B773EA91-136A-4A8D-B5C0-A5FD7D5BE0C6}">
    <text>Liczba godzin ukończonych zadań (Original Time Estimate) z raportu BurnUp Chart z Jira</text>
  </threadedComment>
  <threadedComment ref="C2" dT="2023-01-18T11:57:13.57" personId="{7EF39E17-B76E-43BC-8E3A-24FD49936B27}" id="{D9C481E9-6848-453F-810D-92599CB9671F}">
    <text>Liczba godzin (Original Time Estimate) zadań przydzielonych programiście, pobrana z raportu BurnUp Chart z Jira</text>
  </threadedComment>
  <threadedComment ref="D2" dT="2023-01-18T11:58:21.82" personId="{7EF39E17-B76E-43BC-8E3A-24FD49936B27}" id="{70AD8B34-6470-45BF-9FBA-4057A75AE59F}">
    <text>Stosunek Completed do Scope - Pokazuje jaki procent przydzielonych zadań w ramach sprintu udało się programiście "dowieść"</text>
  </threadedComment>
  <threadedComment ref="E2" dT="2023-01-18T12:00:00.54" personId="{7EF39E17-B76E-43BC-8E3A-24FD49936B27}" id="{B5EA99A5-E995-4176-BBAB-02D1775B69DB}">
    <text>Prównanie Scope programisty do Scope średniego (minus ekstrema) przydzielonego na programistę wyrażone w procentach. Celem paramteru jest sprawdzenie czy scope jaki realizuje programista w porówaniu do innych jest ponad/poniżej średniej.</text>
  </threadedComment>
  <threadedComment ref="F2" dT="2023-01-18T12:04:17.90" personId="{7EF39E17-B76E-43BC-8E3A-24FD49936B27}" id="{B8B154EA-A57F-453B-9CDF-66AFEF465CBC}">
    <text>Godziny zaraportowane do zadań w ramach sprintu (bez godzin na CR, Scrum, komunikację projektową). Dane pochodzą z Jira z raportu Time Reports.</text>
  </threadedComment>
  <threadedComment ref="G2" dT="2023-01-18T12:05:42.64" personId="{7EF39E17-B76E-43BC-8E3A-24FD49936B27}" id="{59699B79-332A-411F-A380-E74ED6CF3512}">
    <text>Stosunek Worked Hours do Completed wyrażony w procentach. Wskaźnik pokazujący zaanagażowanie/skuteczność programisty. Pokazuje procentowo jak czas który zaraportował przełożył się na zakończone zadania w ramach sprintu.</text>
  </threadedComment>
  <threadedComment ref="H2" dT="2023-01-18T12:26:27.64" personId="{7EF39E17-B76E-43BC-8E3A-24FD49936B27}" id="{2FC71A21-66EB-4490-A5CD-75CF9F63EA1C}">
    <text>Liczba godzin programisty w ramach sprint na prace programistyczne. Wartość brana z kalendarzy capacity programistów</text>
  </threadedComment>
  <threadedComment ref="I2" dT="2023-01-18T12:27:55.20" personId="{7EF39E17-B76E-43BC-8E3A-24FD49936B27}" id="{9DC9AAF4-5A5F-46CF-B3F8-BA78E53D76E6}">
    <text>Stosunek Capacity do Worked Hours, parameter wskazuje ile z deklarowanego dostępnego czasu na programowanie zostało zaraportowane jako praca programistyczna.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1917-0902-7248-A88C-B1D4B6C78FB0}">
  <dimension ref="A1:AC64"/>
  <sheetViews>
    <sheetView showGridLines="0" zoomScale="135" zoomScaleNormal="135" workbookViewId="0">
      <selection activeCell="C25" sqref="C25"/>
    </sheetView>
  </sheetViews>
  <sheetFormatPr defaultColWidth="0" defaultRowHeight="15.95"/>
  <cols>
    <col min="1" max="1" width="3.5" customWidth="1"/>
    <col min="2" max="2" width="5.125" customWidth="1"/>
    <col min="3" max="8" width="11.625" customWidth="1"/>
    <col min="9" max="9" width="9.875" customWidth="1"/>
    <col min="10" max="10" width="4.375" customWidth="1"/>
    <col min="11" max="16" width="11.625" customWidth="1"/>
    <col min="17" max="17" width="9.875" customWidth="1"/>
    <col min="18" max="18" width="4.375" customWidth="1"/>
    <col min="19" max="24" width="11.625" customWidth="1"/>
    <col min="25" max="25" width="8.625" customWidth="1"/>
    <col min="26" max="26" width="4.375" customWidth="1"/>
    <col min="27" max="28" width="7.125" customWidth="1"/>
    <col min="29" max="29" width="11.625" hidden="1" customWidth="1"/>
    <col min="30" max="16384" width="10.875" hidden="1"/>
  </cols>
  <sheetData>
    <row r="1" spans="2:26" ht="17.100000000000001" thickBot="1"/>
    <row r="2" spans="2:26" ht="17.100000000000001" thickTop="1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4"/>
    </row>
    <row r="3" spans="2:26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7"/>
    </row>
    <row r="4" spans="2:26" ht="17.100000000000001" thickBot="1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</row>
    <row r="5" spans="2:26" ht="17.100000000000001" thickTop="1"/>
    <row r="6" spans="2:26" ht="21.95" thickBot="1">
      <c r="C6" s="51" t="s">
        <v>1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2:26" ht="17.100000000000001" thickTop="1"/>
    <row r="26" spans="3:25" ht="21.95" thickBot="1">
      <c r="C26" s="51" t="s">
        <v>2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3:25" ht="13.7" customHeight="1" thickTop="1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50" spans="3:25">
      <c r="V50" t="s">
        <v>3</v>
      </c>
    </row>
    <row r="63" spans="3:25" ht="21.95" thickBot="1">
      <c r="C63" s="51" t="s">
        <v>4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3:25" ht="17.100000000000001" thickTop="1"/>
  </sheetData>
  <mergeCells count="4">
    <mergeCell ref="B2:Z4"/>
    <mergeCell ref="C6:Y6"/>
    <mergeCell ref="C26:Y26"/>
    <mergeCell ref="C63:Y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82C8-E19E-854C-946A-25F3001D669E}">
  <dimension ref="A1:AA262"/>
  <sheetViews>
    <sheetView tabSelected="1" workbookViewId="0">
      <selection activeCell="F1" sqref="F1:F1048576"/>
    </sheetView>
  </sheetViews>
  <sheetFormatPr defaultColWidth="11" defaultRowHeight="15.95"/>
  <cols>
    <col min="1" max="1" width="15.375" customWidth="1"/>
    <col min="2" max="5" width="19.875" customWidth="1"/>
    <col min="6" max="6" width="19.875" hidden="1" customWidth="1"/>
    <col min="7" max="7" width="19.875" customWidth="1"/>
    <col min="8" max="8" width="16.375" customWidth="1"/>
    <col min="9" max="9" width="6.875" customWidth="1"/>
    <col min="10" max="10" width="3.375" customWidth="1"/>
    <col min="11" max="11" width="17.625" customWidth="1"/>
    <col min="12" max="12" width="16.125" customWidth="1"/>
    <col min="13" max="13" width="12.125" customWidth="1"/>
    <col min="14" max="14" width="11.625" customWidth="1"/>
    <col min="15" max="15" width="17.125" customWidth="1"/>
    <col min="16" max="16" width="12.125" customWidth="1"/>
    <col min="17" max="17" width="11.125" customWidth="1"/>
  </cols>
  <sheetData>
    <row r="1" spans="1:27">
      <c r="A1" s="52" t="s">
        <v>5</v>
      </c>
      <c r="B1" s="52"/>
      <c r="C1" s="52"/>
      <c r="D1" s="52"/>
      <c r="E1" s="52"/>
      <c r="F1" s="52"/>
      <c r="G1" s="52"/>
      <c r="H1" s="52"/>
      <c r="I1" s="1"/>
      <c r="J1" s="10"/>
      <c r="K1" s="52" t="s">
        <v>6</v>
      </c>
      <c r="L1" s="52"/>
      <c r="M1" s="52"/>
      <c r="N1" s="52"/>
      <c r="O1" s="52"/>
      <c r="P1" s="52"/>
      <c r="Q1" s="1"/>
      <c r="S1" s="14"/>
      <c r="T1" s="14"/>
      <c r="U1" s="14"/>
      <c r="V1" s="14"/>
    </row>
    <row r="2" spans="1:27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0"/>
      <c r="J2" s="10"/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0"/>
      <c r="S2" s="15"/>
      <c r="T2" s="15"/>
      <c r="U2" s="15"/>
      <c r="V2" s="15"/>
    </row>
    <row r="3" spans="1:27">
      <c r="A3" s="17" t="s">
        <v>14</v>
      </c>
      <c r="B3" s="18">
        <f>$K$3</f>
        <v>1.2</v>
      </c>
      <c r="C3" s="18">
        <f>$L$3</f>
        <v>1.2</v>
      </c>
      <c r="D3" s="18">
        <f>$M$3</f>
        <v>1.8</v>
      </c>
      <c r="E3" s="18">
        <f>$N$3</f>
        <v>1</v>
      </c>
      <c r="F3" s="18">
        <f>$O$3</f>
        <v>0.6</v>
      </c>
      <c r="G3" s="18">
        <f>$P$3</f>
        <v>0.8</v>
      </c>
      <c r="H3" s="18"/>
      <c r="I3" s="9"/>
      <c r="J3" s="8"/>
      <c r="K3" s="10">
        <v>1.2</v>
      </c>
      <c r="L3" s="10">
        <v>1.2</v>
      </c>
      <c r="M3" s="10">
        <v>1.8</v>
      </c>
      <c r="N3" s="10">
        <v>1</v>
      </c>
      <c r="O3" s="10">
        <v>0.6</v>
      </c>
      <c r="P3" s="10">
        <v>0.8</v>
      </c>
      <c r="Q3" s="15"/>
      <c r="R3" s="15"/>
      <c r="S3" s="15"/>
      <c r="T3" s="15"/>
      <c r="U3" s="15"/>
      <c r="V3" s="15"/>
    </row>
    <row r="4" spans="1:27">
      <c r="A4" t="s">
        <v>15</v>
      </c>
      <c r="B4">
        <f>VLOOKUP(Model!D3,Results!$K$8:$L$18,2,1)</f>
        <v>9</v>
      </c>
      <c r="C4">
        <f>VLOOKUP(Model!E3,Results!$N$8:$O$18,2,1)</f>
        <v>10</v>
      </c>
      <c r="D4">
        <f>VLOOKUP(Model!G3,Results!$Q$8:$R$18,2,1)</f>
        <v>9</v>
      </c>
      <c r="E4">
        <f>VLOOKUP(Model!I3,Results!$T$8:$U$18,2,1)</f>
        <v>9</v>
      </c>
      <c r="G4">
        <v>7</v>
      </c>
      <c r="H4" s="9">
        <f>SUMPRODUCT(B4:G4,$B$3:$G$3)/SUM($B$3:$G$3)</f>
        <v>8.1212121212121211</v>
      </c>
      <c r="I4" s="9"/>
      <c r="J4" s="8"/>
      <c r="K4" s="1"/>
      <c r="M4" s="15"/>
      <c r="N4" s="15"/>
      <c r="O4" s="15"/>
      <c r="P4" s="15"/>
      <c r="Q4" s="15"/>
      <c r="R4" s="15"/>
      <c r="S4" s="15"/>
      <c r="T4" s="15"/>
      <c r="U4" s="14"/>
      <c r="V4" s="15"/>
    </row>
    <row r="5" spans="1:27">
      <c r="A5" t="s">
        <v>16</v>
      </c>
      <c r="B5">
        <f>VLOOKUP(Model!D20,Results!$K$8:$L$18,2,1)</f>
        <v>1</v>
      </c>
      <c r="C5">
        <f>VLOOKUP(Model!E20,Results!$N$8:$O$18,2,1)</f>
        <v>4</v>
      </c>
      <c r="D5">
        <f>VLOOKUP(Model!G20,Results!$Q$8:$R$18,2,1)</f>
        <v>1</v>
      </c>
      <c r="E5">
        <f>VLOOKUP(Model!I20,Results!$T$8:$U$18,2,1)</f>
        <v>10</v>
      </c>
      <c r="G5">
        <v>7</v>
      </c>
      <c r="H5" s="9">
        <f>SUMPRODUCT(B5:G5,$B$3:$G$3)/SUM($B$3:$G$3)</f>
        <v>3.5454545454545459</v>
      </c>
      <c r="I5" s="9"/>
      <c r="J5" s="8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7">
      <c r="A6" t="s">
        <v>17</v>
      </c>
      <c r="B6">
        <f>VLOOKUP(Model!D86,Results!$K$8:$L$18,2,1)</f>
        <v>1</v>
      </c>
      <c r="C6">
        <f>VLOOKUP(Model!E86,Results!$N$8:$O$18,2,1)</f>
        <v>1</v>
      </c>
      <c r="D6">
        <f>VLOOKUP(Model!G86,Results!$Q$8:$R$18,2,1)</f>
        <v>1</v>
      </c>
      <c r="E6">
        <f>VLOOKUP(Model!I86,Results!$T$8:$U$18,2,1)</f>
        <v>1</v>
      </c>
      <c r="G6">
        <v>7</v>
      </c>
      <c r="H6" s="9">
        <f>SUMPRODUCT(B6:G6,$B$3:$G$3)/SUM($B$3:$G$3)</f>
        <v>1.6363636363636365</v>
      </c>
      <c r="I6" s="9"/>
      <c r="J6" s="8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7">
      <c r="A7" t="s">
        <v>18</v>
      </c>
      <c r="B7">
        <f>VLOOKUP(Model!D53,Results!$K$8:$L$18,2,1)</f>
        <v>1</v>
      </c>
      <c r="C7">
        <f>VLOOKUP(Model!E53,Results!$N$8:$O$18,2,1)</f>
        <v>8</v>
      </c>
      <c r="D7">
        <f>VLOOKUP(Model!G53,Results!$Q$8:$R$18,2,1)</f>
        <v>1</v>
      </c>
      <c r="E7">
        <f>VLOOKUP(Model!I53,Results!$T$8:$U$18,2,1)</f>
        <v>7</v>
      </c>
      <c r="G7">
        <v>7</v>
      </c>
      <c r="H7" s="9">
        <f>SUMPRODUCT(B7:G7,$B$3:$G$3)/SUM($B$3:$G$3)</f>
        <v>3.8181818181818188</v>
      </c>
      <c r="I7" s="9"/>
      <c r="J7" s="8"/>
      <c r="K7" s="53" t="s">
        <v>19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>
      <c r="A8" t="s">
        <v>20</v>
      </c>
      <c r="B8">
        <f>VLOOKUP(Model!D119,Results!$K$8:$L$18,2,1)</f>
        <v>7</v>
      </c>
      <c r="C8">
        <f>VLOOKUP(Model!E119,Results!$N$8:$O$18,2,1)</f>
        <v>4</v>
      </c>
      <c r="D8">
        <f>VLOOKUP(Model!G119,Results!$Q$8:$R$18,2,1)</f>
        <v>6</v>
      </c>
      <c r="E8">
        <f>VLOOKUP(Model!I119,Results!$T$8:$U$18,2,1)</f>
        <v>10</v>
      </c>
      <c r="G8">
        <v>7</v>
      </c>
      <c r="H8" s="9">
        <f>SUMPRODUCT(B8:G8,$B$3:$G$3)/SUM($B$3:$G$3)</f>
        <v>6.0000000000000009</v>
      </c>
      <c r="I8" s="9"/>
      <c r="J8" s="8"/>
      <c r="K8" s="54" t="s">
        <v>7</v>
      </c>
      <c r="L8" s="54"/>
      <c r="N8" s="54" t="s">
        <v>8</v>
      </c>
      <c r="O8" s="54"/>
      <c r="Q8" s="54" t="s">
        <v>9</v>
      </c>
      <c r="R8" s="54"/>
      <c r="T8" s="54" t="s">
        <v>10</v>
      </c>
      <c r="U8" s="54"/>
      <c r="W8" s="54" t="s">
        <v>11</v>
      </c>
      <c r="X8" s="54"/>
      <c r="Z8" s="54" t="s">
        <v>12</v>
      </c>
      <c r="AA8" s="54"/>
    </row>
    <row r="9" spans="1:27">
      <c r="H9" s="9"/>
      <c r="I9" s="9"/>
      <c r="J9" s="8"/>
      <c r="K9" s="2">
        <v>0</v>
      </c>
      <c r="L9" s="19">
        <v>1</v>
      </c>
      <c r="N9" s="3">
        <v>0</v>
      </c>
      <c r="O9" s="19">
        <v>1</v>
      </c>
      <c r="Q9" s="2">
        <v>0</v>
      </c>
      <c r="R9" s="19">
        <v>1</v>
      </c>
      <c r="T9" s="2">
        <v>0</v>
      </c>
      <c r="U9" s="19">
        <v>1</v>
      </c>
      <c r="W9" s="3">
        <v>0.9</v>
      </c>
      <c r="X9" s="19">
        <v>1</v>
      </c>
      <c r="Z9">
        <v>1</v>
      </c>
      <c r="AA9">
        <v>1</v>
      </c>
    </row>
    <row r="10" spans="1:27">
      <c r="A10" s="52" t="s">
        <v>21</v>
      </c>
      <c r="B10" s="52"/>
      <c r="C10" s="52"/>
      <c r="D10" s="52"/>
      <c r="E10" s="52"/>
      <c r="F10" s="52"/>
      <c r="G10" s="52"/>
      <c r="H10" s="52"/>
      <c r="I10" s="9"/>
      <c r="J10" s="8"/>
      <c r="K10" s="2">
        <v>0.2</v>
      </c>
      <c r="L10" s="19">
        <v>2</v>
      </c>
      <c r="N10" s="3">
        <v>0.3</v>
      </c>
      <c r="O10" s="19">
        <v>2</v>
      </c>
      <c r="Q10" s="2">
        <v>0.2</v>
      </c>
      <c r="R10" s="19">
        <v>2</v>
      </c>
      <c r="T10" s="2">
        <v>0.2</v>
      </c>
      <c r="U10" s="19">
        <v>2</v>
      </c>
      <c r="W10" s="3">
        <v>0.7</v>
      </c>
      <c r="X10" s="19">
        <v>2</v>
      </c>
      <c r="Z10">
        <v>2</v>
      </c>
      <c r="AA10">
        <v>2</v>
      </c>
    </row>
    <row r="11" spans="1:27"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9"/>
      <c r="J11" s="8"/>
      <c r="K11" s="2">
        <v>0.3</v>
      </c>
      <c r="L11" s="19">
        <v>3</v>
      </c>
      <c r="N11" s="3">
        <v>0.4</v>
      </c>
      <c r="O11" s="19">
        <v>3</v>
      </c>
      <c r="Q11" s="2">
        <v>0.3</v>
      </c>
      <c r="R11" s="19">
        <v>3</v>
      </c>
      <c r="T11" s="2">
        <v>0.3</v>
      </c>
      <c r="U11" s="19">
        <v>3</v>
      </c>
      <c r="W11" s="3">
        <v>0.5</v>
      </c>
      <c r="X11" s="19">
        <v>3</v>
      </c>
      <c r="Z11">
        <v>3</v>
      </c>
      <c r="AA11">
        <v>3</v>
      </c>
    </row>
    <row r="12" spans="1:27">
      <c r="A12" s="17" t="s">
        <v>22</v>
      </c>
      <c r="B12" s="18">
        <f>$K$3</f>
        <v>1.2</v>
      </c>
      <c r="C12" s="18">
        <f>$L$3</f>
        <v>1.2</v>
      </c>
      <c r="D12" s="18">
        <f>$M$3</f>
        <v>1.8</v>
      </c>
      <c r="E12" s="18">
        <f>$N$3</f>
        <v>1</v>
      </c>
      <c r="F12" s="18">
        <f>$O$3</f>
        <v>0.6</v>
      </c>
      <c r="G12" s="18">
        <f>$P$3</f>
        <v>0.8</v>
      </c>
      <c r="H12" s="18"/>
      <c r="J12" s="8"/>
      <c r="K12" s="2">
        <v>0.4</v>
      </c>
      <c r="L12" s="19">
        <v>4</v>
      </c>
      <c r="N12" s="3">
        <v>0.5</v>
      </c>
      <c r="O12" s="19">
        <v>4</v>
      </c>
      <c r="Q12" s="2">
        <v>0.4</v>
      </c>
      <c r="R12" s="19">
        <v>4</v>
      </c>
      <c r="T12" s="2">
        <v>0.4</v>
      </c>
      <c r="U12" s="19">
        <v>4</v>
      </c>
      <c r="W12" s="3">
        <v>0.4</v>
      </c>
      <c r="X12" s="19">
        <v>4</v>
      </c>
      <c r="Z12">
        <v>4</v>
      </c>
      <c r="AA12">
        <v>4</v>
      </c>
    </row>
    <row r="13" spans="1:27">
      <c r="A13" t="s">
        <v>15</v>
      </c>
      <c r="B13">
        <f>VLOOKUP(Model!D4,Results!$K$8:$L$18,2,1)</f>
        <v>7</v>
      </c>
      <c r="C13">
        <f>VLOOKUP(Model!E4,Results!$N$8:$O$18,2,1)</f>
        <v>6</v>
      </c>
      <c r="D13">
        <f>VLOOKUP(Model!G4,Results!$Q$8:$R$18,2,1)</f>
        <v>2</v>
      </c>
      <c r="E13">
        <f>VLOOKUP(Model!I4,Results!$T$8:$U$18,2,1)</f>
        <v>8</v>
      </c>
      <c r="G13">
        <v>7</v>
      </c>
      <c r="H13" s="9">
        <f>SUMPRODUCT(B13:G13,$B$3:$G$3)/SUM($B$3:$G$3)</f>
        <v>4.9696969696969697</v>
      </c>
      <c r="J13" s="8"/>
      <c r="K13" s="2">
        <v>0.5</v>
      </c>
      <c r="L13" s="19">
        <v>5</v>
      </c>
      <c r="N13" s="3">
        <v>0.6</v>
      </c>
      <c r="O13" s="19">
        <v>5</v>
      </c>
      <c r="Q13" s="2">
        <v>0.5</v>
      </c>
      <c r="R13" s="19">
        <v>5</v>
      </c>
      <c r="T13" s="2">
        <v>0.5</v>
      </c>
      <c r="U13" s="19">
        <v>5</v>
      </c>
      <c r="W13" s="3">
        <v>0.3</v>
      </c>
      <c r="X13" s="19">
        <v>5</v>
      </c>
      <c r="Z13">
        <v>5</v>
      </c>
      <c r="AA13">
        <v>5</v>
      </c>
    </row>
    <row r="14" spans="1:27">
      <c r="A14" t="s">
        <v>16</v>
      </c>
      <c r="B14">
        <f>VLOOKUP(Model!D21,Results!$K$8:$L$18,2,1)</f>
        <v>1</v>
      </c>
      <c r="C14">
        <f>VLOOKUP(Model!E21,Results!$N$8:$O$18,2,1)</f>
        <v>9</v>
      </c>
      <c r="D14">
        <f>VLOOKUP(Model!G21,Results!$Q$8:$R$18,2,1)</f>
        <v>1</v>
      </c>
      <c r="E14">
        <f>VLOOKUP(Model!I21,Results!$T$8:$U$18,2,1)</f>
        <v>10</v>
      </c>
      <c r="G14">
        <v>7</v>
      </c>
      <c r="H14" s="9">
        <f>SUMPRODUCT(B14:G14,$B$3:$G$3)/SUM($B$3:$G$3)</f>
        <v>4.4545454545454541</v>
      </c>
      <c r="K14" s="2">
        <v>0.6</v>
      </c>
      <c r="L14" s="19">
        <v>6</v>
      </c>
      <c r="N14" s="3">
        <v>0.7</v>
      </c>
      <c r="O14" s="19">
        <v>6</v>
      </c>
      <c r="Q14" s="2">
        <v>0.6</v>
      </c>
      <c r="R14" s="19">
        <v>6</v>
      </c>
      <c r="T14" s="2">
        <v>0.6</v>
      </c>
      <c r="U14" s="19">
        <v>6</v>
      </c>
      <c r="W14" s="3">
        <v>0.2</v>
      </c>
      <c r="X14" s="19">
        <v>6</v>
      </c>
      <c r="Z14">
        <v>6</v>
      </c>
      <c r="AA14">
        <v>6</v>
      </c>
    </row>
    <row r="15" spans="1:27">
      <c r="A15" t="s">
        <v>17</v>
      </c>
      <c r="B15">
        <f>VLOOKUP(Model!D87,Results!$K$8:$L$18,2,1)</f>
        <v>1</v>
      </c>
      <c r="C15">
        <f>VLOOKUP(Model!E87,Results!$N$8:$O$18,2,1)</f>
        <v>1</v>
      </c>
      <c r="D15">
        <f>VLOOKUP(Model!G87,Results!$Q$8:$R$18,2,1)</f>
        <v>1</v>
      </c>
      <c r="E15">
        <f>VLOOKUP(Model!I87,Results!$T$8:$U$18,2,1)</f>
        <v>1</v>
      </c>
      <c r="G15">
        <v>7</v>
      </c>
      <c r="H15" s="9">
        <f>SUMPRODUCT(B15:G15,$B$3:$G$3)/SUM($B$3:$G$3)</f>
        <v>1.6363636363636365</v>
      </c>
      <c r="K15" s="2">
        <v>0.7</v>
      </c>
      <c r="L15" s="19">
        <v>7</v>
      </c>
      <c r="N15" s="3">
        <v>0.8</v>
      </c>
      <c r="O15" s="19">
        <v>7</v>
      </c>
      <c r="Q15" s="2">
        <v>0.7</v>
      </c>
      <c r="R15" s="19">
        <v>7</v>
      </c>
      <c r="T15" s="2">
        <v>0.7</v>
      </c>
      <c r="U15" s="19">
        <v>7</v>
      </c>
      <c r="W15" s="3">
        <v>0.15</v>
      </c>
      <c r="X15" s="19">
        <v>7</v>
      </c>
      <c r="Z15">
        <v>7</v>
      </c>
      <c r="AA15">
        <v>7</v>
      </c>
    </row>
    <row r="16" spans="1:27">
      <c r="A16" t="s">
        <v>18</v>
      </c>
      <c r="B16">
        <f>VLOOKUP(Model!D54,Results!$K$8:$L$18,2,1)</f>
        <v>1</v>
      </c>
      <c r="C16">
        <f>VLOOKUP(Model!E54,Results!$N$8:$O$18,2,1)</f>
        <v>10</v>
      </c>
      <c r="D16">
        <f>VLOOKUP(Model!G54,Results!$Q$8:$R$18,2,1)</f>
        <v>1</v>
      </c>
      <c r="E16">
        <f>VLOOKUP(Model!I54,Results!$T$8:$U$18,2,1)</f>
        <v>7</v>
      </c>
      <c r="G16">
        <v>7</v>
      </c>
      <c r="H16" s="9">
        <f>SUMPRODUCT(B16:G16,$B$3:$G$3)/SUM($B$3:$G$3)</f>
        <v>4.1818181818181825</v>
      </c>
      <c r="K16" s="2">
        <v>0.8</v>
      </c>
      <c r="L16" s="19">
        <v>8</v>
      </c>
      <c r="N16" s="3">
        <v>0.9</v>
      </c>
      <c r="O16" s="19">
        <v>8</v>
      </c>
      <c r="Q16" s="2">
        <v>0.8</v>
      </c>
      <c r="R16" s="19">
        <v>8</v>
      </c>
      <c r="T16" s="2">
        <v>0.8</v>
      </c>
      <c r="U16" s="19">
        <v>8</v>
      </c>
      <c r="W16" s="3">
        <v>7.0000000000000007E-2</v>
      </c>
      <c r="X16" s="19">
        <v>8</v>
      </c>
      <c r="Z16">
        <v>8</v>
      </c>
      <c r="AA16">
        <v>8</v>
      </c>
    </row>
    <row r="17" spans="1:27">
      <c r="A17" t="s">
        <v>20</v>
      </c>
      <c r="B17">
        <f>VLOOKUP(Model!D120,Results!$K$8:$L$18,2,1)</f>
        <v>6</v>
      </c>
      <c r="C17">
        <f>VLOOKUP(Model!E120,Results!$N$8:$O$18,2,1)</f>
        <v>5</v>
      </c>
      <c r="D17">
        <f>VLOOKUP(Model!G120,Results!$Q$8:$R$18,2,1)</f>
        <v>5</v>
      </c>
      <c r="E17">
        <f>VLOOKUP(Model!I120,Results!$T$8:$U$18,2,1)</f>
        <v>8</v>
      </c>
      <c r="G17">
        <v>7</v>
      </c>
      <c r="H17" s="9">
        <f>SUMPRODUCT(B17:G17,$B$3:$G$3)/SUM($B$3:$G$3)</f>
        <v>5.4242424242424239</v>
      </c>
      <c r="K17" s="2">
        <v>0.9</v>
      </c>
      <c r="L17" s="19">
        <v>9</v>
      </c>
      <c r="N17" s="3">
        <v>1</v>
      </c>
      <c r="O17" s="19">
        <v>9</v>
      </c>
      <c r="Q17" s="2">
        <v>0.9</v>
      </c>
      <c r="R17" s="19">
        <v>9</v>
      </c>
      <c r="T17" s="2">
        <v>0.9</v>
      </c>
      <c r="U17" s="19">
        <v>9</v>
      </c>
      <c r="W17" s="3">
        <v>0</v>
      </c>
      <c r="X17" s="19">
        <v>9</v>
      </c>
      <c r="Z17">
        <v>9</v>
      </c>
      <c r="AA17">
        <v>9</v>
      </c>
    </row>
    <row r="18" spans="1:27">
      <c r="K18" s="2">
        <v>1</v>
      </c>
      <c r="L18" s="19">
        <v>10</v>
      </c>
      <c r="N18" s="3">
        <v>1.2</v>
      </c>
      <c r="O18" s="19">
        <v>10</v>
      </c>
      <c r="Q18" s="2">
        <v>1</v>
      </c>
      <c r="R18" s="19">
        <v>10</v>
      </c>
      <c r="T18" s="2">
        <v>1</v>
      </c>
      <c r="U18" s="19">
        <v>10</v>
      </c>
      <c r="W18" s="3">
        <v>-0.1</v>
      </c>
      <c r="X18" s="19">
        <v>10</v>
      </c>
      <c r="Z18">
        <v>10</v>
      </c>
      <c r="AA18">
        <v>10</v>
      </c>
    </row>
    <row r="19" spans="1:27">
      <c r="A19" s="52" t="s">
        <v>23</v>
      </c>
      <c r="B19" s="52"/>
      <c r="C19" s="52"/>
      <c r="D19" s="52"/>
      <c r="E19" s="52"/>
      <c r="F19" s="52"/>
      <c r="G19" s="52"/>
      <c r="H19" s="52"/>
    </row>
    <row r="20" spans="1:27"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</row>
    <row r="21" spans="1:27">
      <c r="A21" s="17" t="s">
        <v>22</v>
      </c>
      <c r="B21" s="18">
        <f>$K$3</f>
        <v>1.2</v>
      </c>
      <c r="C21" s="18">
        <f>$L$3</f>
        <v>1.2</v>
      </c>
      <c r="D21" s="18">
        <f>$M$3</f>
        <v>1.8</v>
      </c>
      <c r="E21" s="18">
        <f>$N$3</f>
        <v>1</v>
      </c>
      <c r="F21" s="18">
        <f>$O$3</f>
        <v>0.6</v>
      </c>
      <c r="G21" s="18">
        <f>$P$3</f>
        <v>0.8</v>
      </c>
      <c r="H21" s="18"/>
    </row>
    <row r="22" spans="1:27">
      <c r="A22" t="s">
        <v>15</v>
      </c>
      <c r="B22">
        <f>VLOOKUP(Model!D5,Results!$K$8:$L$18,2,1)</f>
        <v>5</v>
      </c>
      <c r="C22">
        <f>VLOOKUP(Model!E5,Results!$N$8:$O$18,2,1)</f>
        <v>8</v>
      </c>
      <c r="D22">
        <f>VLOOKUP(Model!G5,Results!$Q$8:$R$18,2,1)</f>
        <v>6</v>
      </c>
      <c r="E22">
        <f>VLOOKUP(Model!I5,Results!$T$8:$U$18,2,1)</f>
        <v>8</v>
      </c>
      <c r="G22">
        <v>7</v>
      </c>
      <c r="H22" s="9">
        <f>SUMPRODUCT(B22:G22,$B$3:$G$3)/SUM($B$3:$G$3)</f>
        <v>6.0606060606060606</v>
      </c>
    </row>
    <row r="23" spans="1:27">
      <c r="A23" t="s">
        <v>16</v>
      </c>
      <c r="B23">
        <f>VLOOKUP(Model!D22,Results!$K$8:$L$18,2,1)</f>
        <v>1</v>
      </c>
      <c r="C23">
        <f>VLOOKUP(Model!E22,Results!$N$8:$O$18,2,1)</f>
        <v>10</v>
      </c>
      <c r="D23">
        <f>VLOOKUP(Model!G22,Results!$Q$8:$R$18,2,1)</f>
        <v>1</v>
      </c>
      <c r="E23">
        <f>VLOOKUP(Model!I22,Results!$T$8:$U$18,2,1)</f>
        <v>8</v>
      </c>
      <c r="G23">
        <v>7</v>
      </c>
      <c r="H23" s="9">
        <f>SUMPRODUCT(B23:G23,$B$3:$G$3)/SUM($B$3:$G$3)</f>
        <v>4.3333333333333339</v>
      </c>
    </row>
    <row r="24" spans="1:27">
      <c r="A24" t="s">
        <v>17</v>
      </c>
      <c r="B24">
        <f>VLOOKUP(Model!D88,Results!$K$8:$L$18,2,1)</f>
        <v>1</v>
      </c>
      <c r="C24">
        <f>VLOOKUP(Model!E88,Results!$N$8:$O$18,2,1)</f>
        <v>1</v>
      </c>
      <c r="D24">
        <f>VLOOKUP(Model!G88,Results!$Q$8:$R$18,2,1)</f>
        <v>1</v>
      </c>
      <c r="E24">
        <f>VLOOKUP(Model!I88,Results!$T$8:$U$18,2,1)</f>
        <v>1</v>
      </c>
      <c r="G24">
        <v>7</v>
      </c>
      <c r="H24" s="9">
        <f>SUMPRODUCT(B24:G24,$B$3:$G$3)/SUM($B$3:$G$3)</f>
        <v>1.6363636363636365</v>
      </c>
    </row>
    <row r="25" spans="1:27">
      <c r="A25" t="s">
        <v>18</v>
      </c>
      <c r="B25">
        <f>VLOOKUP(Model!D55,Results!$K$8:$L$18,2,1)</f>
        <v>1</v>
      </c>
      <c r="C25">
        <f>VLOOKUP(Model!E55,Results!$N$8:$O$18,2,1)</f>
        <v>6</v>
      </c>
      <c r="D25">
        <f>VLOOKUP(Model!G55,Results!$Q$8:$R$18,2,1)</f>
        <v>1</v>
      </c>
      <c r="E25">
        <f>VLOOKUP(Model!I55,Results!$T$8:$U$18,2,1)</f>
        <v>6</v>
      </c>
      <c r="G25">
        <v>7</v>
      </c>
      <c r="H25" s="9">
        <f>SUMPRODUCT(B25:G25,$B$3:$G$3)/SUM($B$3:$G$3)</f>
        <v>3.3030303030303032</v>
      </c>
    </row>
    <row r="26" spans="1:27">
      <c r="A26" t="s">
        <v>20</v>
      </c>
      <c r="B26">
        <f>VLOOKUP(Model!D121,Results!$K$8:$L$18,2,1)</f>
        <v>10</v>
      </c>
      <c r="C26">
        <f>VLOOKUP(Model!E121,Results!$N$8:$O$18,2,1)</f>
        <v>5</v>
      </c>
      <c r="D26">
        <f>VLOOKUP(Model!G121,Results!$Q$8:$R$18,2,1)</f>
        <v>10</v>
      </c>
      <c r="E26">
        <f>VLOOKUP(Model!I121,Results!$T$8:$U$18,2,1)</f>
        <v>7</v>
      </c>
      <c r="G26">
        <v>7</v>
      </c>
      <c r="H26" s="9">
        <f>SUMPRODUCT(B26:G26,$B$3:$G$3)/SUM($B$3:$G$3)</f>
        <v>7.3636363636363642</v>
      </c>
    </row>
    <row r="28" spans="1:27">
      <c r="A28" s="52" t="s">
        <v>24</v>
      </c>
      <c r="B28" s="52"/>
      <c r="C28" s="52"/>
      <c r="D28" s="52"/>
      <c r="E28" s="52"/>
      <c r="F28" s="52"/>
      <c r="G28" s="52"/>
      <c r="H28" s="52"/>
    </row>
    <row r="29" spans="1:27"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13</v>
      </c>
    </row>
    <row r="30" spans="1:27">
      <c r="A30" s="17" t="s">
        <v>22</v>
      </c>
      <c r="B30" s="18">
        <f>$K$3</f>
        <v>1.2</v>
      </c>
      <c r="C30" s="18">
        <f>$L$3</f>
        <v>1.2</v>
      </c>
      <c r="D30" s="18">
        <f>$M$3</f>
        <v>1.8</v>
      </c>
      <c r="E30" s="18">
        <f>$N$3</f>
        <v>1</v>
      </c>
      <c r="F30" s="18">
        <f>$O$3</f>
        <v>0.6</v>
      </c>
      <c r="G30" s="18">
        <f>$P$3</f>
        <v>0.8</v>
      </c>
      <c r="H30" s="18"/>
    </row>
    <row r="31" spans="1:27">
      <c r="A31" t="s">
        <v>15</v>
      </c>
      <c r="B31">
        <f>VLOOKUP(Model!D6,Results!$K$8:$L$18,2,1)</f>
        <v>5</v>
      </c>
      <c r="C31">
        <f>VLOOKUP(Model!E6,Results!$N$8:$O$18,2,1)</f>
        <v>10</v>
      </c>
      <c r="D31">
        <f>VLOOKUP(Model!G6,Results!$Q$8:$R$18,2,1)</f>
        <v>7</v>
      </c>
      <c r="E31">
        <f>VLOOKUP(Model!I6,Results!$T$8:$U$18,2,1)</f>
        <v>7</v>
      </c>
      <c r="G31">
        <v>7</v>
      </c>
      <c r="H31" s="9">
        <f>SUMPRODUCT(B31:G31,$B$3:$G$3)/SUM($B$3:$G$3)</f>
        <v>6.5454545454545459</v>
      </c>
    </row>
    <row r="32" spans="1:27">
      <c r="A32" t="s">
        <v>16</v>
      </c>
      <c r="B32">
        <f>VLOOKUP(Model!D23,Results!$K$8:$L$18,2,1)</f>
        <v>1</v>
      </c>
      <c r="C32">
        <f>VLOOKUP(Model!E23,Results!$N$8:$O$18,2,1)</f>
        <v>10</v>
      </c>
      <c r="D32">
        <f>VLOOKUP(Model!G23,Results!$Q$8:$R$18,2,1)</f>
        <v>1</v>
      </c>
      <c r="E32">
        <f>VLOOKUP(Model!I23,Results!$T$8:$U$18,2,1)</f>
        <v>8</v>
      </c>
      <c r="G32">
        <v>7</v>
      </c>
      <c r="H32" s="9">
        <f>SUMPRODUCT(B32:G32,$B$3:$G$3)/SUM($B$3:$G$3)</f>
        <v>4.3333333333333339</v>
      </c>
    </row>
    <row r="33" spans="1:8">
      <c r="A33" t="s">
        <v>17</v>
      </c>
      <c r="B33">
        <f>VLOOKUP(Model!D89,Results!$K$8:$L$18,2,1)</f>
        <v>1</v>
      </c>
      <c r="C33">
        <f>VLOOKUP(Model!E89,Results!$N$8:$O$18,2,1)</f>
        <v>1</v>
      </c>
      <c r="D33">
        <f>VLOOKUP(Model!G89,Results!$Q$8:$R$18,2,1)</f>
        <v>1</v>
      </c>
      <c r="E33">
        <f>VLOOKUP(Model!I89,Results!$T$8:$U$18,2,1)</f>
        <v>1</v>
      </c>
      <c r="G33">
        <v>7</v>
      </c>
      <c r="H33" s="9">
        <f>SUMPRODUCT(B33:G33,$B$3:$G$3)/SUM($B$3:$G$3)</f>
        <v>1.6363636363636365</v>
      </c>
    </row>
    <row r="34" spans="1:8">
      <c r="A34" t="s">
        <v>18</v>
      </c>
      <c r="B34">
        <f>VLOOKUP(Model!D56,Results!$K$8:$L$18,2,1)</f>
        <v>1</v>
      </c>
      <c r="C34">
        <f>VLOOKUP(Model!E56,Results!$N$8:$O$18,2,1)</f>
        <v>1</v>
      </c>
      <c r="D34">
        <f>VLOOKUP(Model!G56,Results!$Q$8:$R$18,2,1)</f>
        <v>1</v>
      </c>
      <c r="E34">
        <f>VLOOKUP(Model!I56,Results!$T$8:$U$18,2,1)</f>
        <v>9</v>
      </c>
      <c r="G34">
        <v>7</v>
      </c>
      <c r="H34" s="9">
        <f>SUMPRODUCT(B34:G34,$B$3:$G$3)/SUM($B$3:$G$3)</f>
        <v>2.8484848484848486</v>
      </c>
    </row>
    <row r="35" spans="1:8">
      <c r="A35" t="s">
        <v>20</v>
      </c>
      <c r="B35">
        <f>VLOOKUP(Model!D122,Results!$K$8:$L$18,2,1)</f>
        <v>2</v>
      </c>
      <c r="C35">
        <f>VLOOKUP(Model!E122,Results!$N$8:$O$18,2,1)</f>
        <v>1</v>
      </c>
      <c r="D35">
        <f>VLOOKUP(Model!G122,Results!$Q$8:$R$18,2,1)</f>
        <v>5</v>
      </c>
      <c r="E35">
        <f>VLOOKUP(Model!I122,Results!$T$8:$U$18,2,1)</f>
        <v>3</v>
      </c>
      <c r="G35">
        <v>7</v>
      </c>
      <c r="H35" s="9">
        <f>SUMPRODUCT(B35:G35,$B$3:$G$3)/SUM($B$3:$G$3)</f>
        <v>3.2121212121212124</v>
      </c>
    </row>
    <row r="36" spans="1:8">
      <c r="H36" s="9"/>
    </row>
    <row r="37" spans="1:8">
      <c r="A37" s="52" t="s">
        <v>25</v>
      </c>
      <c r="B37" s="52"/>
      <c r="C37" s="52"/>
      <c r="D37" s="52"/>
      <c r="E37" s="52"/>
      <c r="F37" s="52"/>
      <c r="G37" s="52"/>
      <c r="H37" s="52"/>
    </row>
    <row r="38" spans="1:8">
      <c r="B38" s="1" t="s">
        <v>7</v>
      </c>
      <c r="C38" s="1" t="s">
        <v>8</v>
      </c>
      <c r="D38" s="1" t="s">
        <v>9</v>
      </c>
      <c r="E38" s="1" t="s">
        <v>10</v>
      </c>
      <c r="F38" s="1" t="s">
        <v>11</v>
      </c>
      <c r="G38" s="1" t="s">
        <v>12</v>
      </c>
      <c r="H38" s="1" t="s">
        <v>13</v>
      </c>
    </row>
    <row r="39" spans="1:8">
      <c r="A39" s="17" t="s">
        <v>22</v>
      </c>
      <c r="B39" s="18">
        <f>$K$3</f>
        <v>1.2</v>
      </c>
      <c r="C39" s="18">
        <f>$L$3</f>
        <v>1.2</v>
      </c>
      <c r="D39" s="18">
        <f>$M$3</f>
        <v>1.8</v>
      </c>
      <c r="E39" s="18">
        <f>$N$3</f>
        <v>1</v>
      </c>
      <c r="F39" s="18">
        <f>$O$3</f>
        <v>0.6</v>
      </c>
      <c r="G39" s="18">
        <f>$P$3</f>
        <v>0.8</v>
      </c>
      <c r="H39" s="18"/>
    </row>
    <row r="40" spans="1:8">
      <c r="A40" t="s">
        <v>15</v>
      </c>
      <c r="B40">
        <f>VLOOKUP(Model!D7,Results!$K$8:$L$18,2,1)</f>
        <v>8</v>
      </c>
      <c r="C40">
        <f>VLOOKUP(Model!E7,Results!$N$8:$O$18,2,1)</f>
        <v>8</v>
      </c>
      <c r="D40">
        <f>VLOOKUP(Model!G7,Results!$Q$8:$R$18,2,1)</f>
        <v>7</v>
      </c>
      <c r="E40">
        <f>VLOOKUP(Model!I7,Results!$T$8:$U$18,2,1)</f>
        <v>9</v>
      </c>
      <c r="G40">
        <v>7</v>
      </c>
      <c r="H40" s="9">
        <f>SUMPRODUCT(B40:G40,$B$3:$G$3)/SUM($B$3:$G$3)</f>
        <v>7.0303030303030303</v>
      </c>
    </row>
    <row r="41" spans="1:8">
      <c r="A41" t="s">
        <v>16</v>
      </c>
      <c r="B41">
        <f>VLOOKUP(Model!D24,Results!$K$8:$L$18,2,1)</f>
        <v>1</v>
      </c>
      <c r="C41">
        <f>VLOOKUP(Model!E24,Results!$N$8:$O$18,2,1)</f>
        <v>9</v>
      </c>
      <c r="D41">
        <f>VLOOKUP(Model!G24,Results!$Q$8:$R$18,2,1)</f>
        <v>1</v>
      </c>
      <c r="E41">
        <f>VLOOKUP(Model!I24,Results!$T$8:$U$18,2,1)</f>
        <v>10</v>
      </c>
      <c r="G41">
        <v>7</v>
      </c>
      <c r="H41" s="9">
        <f>SUMPRODUCT(B41:G41,$B$3:$G$3)/SUM($B$3:$G$3)</f>
        <v>4.4545454545454541</v>
      </c>
    </row>
    <row r="42" spans="1:8">
      <c r="A42" t="s">
        <v>17</v>
      </c>
      <c r="B42">
        <f>VLOOKUP(Model!D90,Results!$K$8:$L$18,2,1)</f>
        <v>1</v>
      </c>
      <c r="C42">
        <f>VLOOKUP(Model!E90,Results!$N$8:$O$18,2,1)</f>
        <v>1</v>
      </c>
      <c r="D42">
        <f>VLOOKUP(Model!G90,Results!$Q$8:$R$18,2,1)</f>
        <v>1</v>
      </c>
      <c r="E42">
        <f>VLOOKUP(Model!I90,Results!$T$8:$U$18,2,1)</f>
        <v>1</v>
      </c>
      <c r="G42">
        <v>7</v>
      </c>
      <c r="H42" s="9">
        <f>SUMPRODUCT(B42:G42,$B$3:$G$3)/SUM($B$3:$G$3)</f>
        <v>1.6363636363636365</v>
      </c>
    </row>
    <row r="43" spans="1:8">
      <c r="A43" t="s">
        <v>18</v>
      </c>
      <c r="B43">
        <f>VLOOKUP(Model!D57,Results!$K$8:$L$18,2,1)</f>
        <v>1</v>
      </c>
      <c r="C43">
        <f>VLOOKUP(Model!E57,Results!$N$8:$O$18,2,1)</f>
        <v>7</v>
      </c>
      <c r="D43">
        <f>VLOOKUP(Model!G57,Results!$Q$8:$R$18,2,1)</f>
        <v>1</v>
      </c>
      <c r="E43">
        <f>VLOOKUP(Model!I57,Results!$T$8:$U$18,2,1)</f>
        <v>7</v>
      </c>
      <c r="G43">
        <v>7</v>
      </c>
      <c r="H43" s="9">
        <f>SUMPRODUCT(B43:G43,$B$3:$G$3)/SUM($B$3:$G$3)</f>
        <v>3.6363636363636367</v>
      </c>
    </row>
    <row r="44" spans="1:8">
      <c r="A44" t="s">
        <v>20</v>
      </c>
      <c r="B44">
        <f>VLOOKUP(Model!D123,Results!$K$8:$L$18,2,1)</f>
        <v>2</v>
      </c>
      <c r="C44">
        <f>VLOOKUP(Model!E123,Results!$N$8:$O$18,2,1)</f>
        <v>1</v>
      </c>
      <c r="D44">
        <f>VLOOKUP(Model!G123,Results!$Q$8:$R$18,2,1)</f>
        <v>2</v>
      </c>
      <c r="E44">
        <f>VLOOKUP(Model!I123,Results!$T$8:$U$18,2,1)</f>
        <v>10</v>
      </c>
      <c r="G44">
        <v>7</v>
      </c>
      <c r="H44" s="9">
        <f>SUMPRODUCT(B44:G44,$B$3:$G$3)/SUM($B$3:$G$3)</f>
        <v>3.454545454545455</v>
      </c>
    </row>
    <row r="45" spans="1:8">
      <c r="H45" s="9"/>
    </row>
    <row r="46" spans="1:8">
      <c r="A46" s="52" t="s">
        <v>26</v>
      </c>
      <c r="B46" s="52"/>
      <c r="C46" s="52"/>
      <c r="D46" s="52"/>
      <c r="E46" s="52"/>
      <c r="F46" s="52"/>
      <c r="G46" s="52"/>
      <c r="H46" s="52"/>
    </row>
    <row r="47" spans="1:8">
      <c r="B47" s="1" t="s">
        <v>7</v>
      </c>
      <c r="C47" s="1" t="s">
        <v>8</v>
      </c>
      <c r="D47" s="1" t="s">
        <v>9</v>
      </c>
      <c r="E47" s="1" t="s">
        <v>10</v>
      </c>
      <c r="F47" s="1" t="s">
        <v>11</v>
      </c>
      <c r="G47" s="1" t="s">
        <v>12</v>
      </c>
      <c r="H47" s="1" t="s">
        <v>13</v>
      </c>
    </row>
    <row r="48" spans="1:8" ht="17.100000000000001" thickBot="1">
      <c r="A48" s="17" t="s">
        <v>22</v>
      </c>
      <c r="B48" s="18">
        <f>$K$3</f>
        <v>1.2</v>
      </c>
      <c r="C48" s="18">
        <f>$L$3</f>
        <v>1.2</v>
      </c>
      <c r="D48" s="18">
        <f>$M$3</f>
        <v>1.8</v>
      </c>
      <c r="E48" s="18">
        <f>$N$3</f>
        <v>1</v>
      </c>
      <c r="F48" s="18">
        <f>$O$3</f>
        <v>0.6</v>
      </c>
      <c r="G48" s="18">
        <f>$P$3</f>
        <v>0.8</v>
      </c>
      <c r="H48" s="18"/>
    </row>
    <row r="49" spans="1:8">
      <c r="A49" t="s">
        <v>15</v>
      </c>
      <c r="B49">
        <f>VLOOKUP(Model!D8,Results!$K$8:$L$18,2,1)</f>
        <v>8</v>
      </c>
      <c r="C49">
        <f>VLOOKUP(Model!E8,Results!$N$8:$O$18,2,1)</f>
        <v>9</v>
      </c>
      <c r="D49">
        <f>VLOOKUP(Model!G8,Results!$Q$8:$R$18,2,1)</f>
        <v>10</v>
      </c>
      <c r="E49">
        <f>VLOOKUP(Model!I8,Results!$T$8:$U$18,2,1)</f>
        <v>10</v>
      </c>
      <c r="G49">
        <v>7</v>
      </c>
      <c r="H49" s="9">
        <f>SUMPRODUCT(B49:G49,$B$3:$G$3)/SUM($B$3:$G$3)</f>
        <v>8.1818181818181817</v>
      </c>
    </row>
    <row r="50" spans="1:8">
      <c r="A50" t="s">
        <v>16</v>
      </c>
      <c r="B50">
        <f>VLOOKUP(Model!D25,Results!$K$8:$L$18,2,1)</f>
        <v>1</v>
      </c>
      <c r="C50">
        <f>VLOOKUP(Model!E25,Results!$N$8:$O$18,2,1)</f>
        <v>7</v>
      </c>
      <c r="D50">
        <f>VLOOKUP(Model!G25,Results!$Q$8:$R$18,2,1)</f>
        <v>1</v>
      </c>
      <c r="E50">
        <f>VLOOKUP(Model!I25,Results!$T$8:$U$18,2,1)</f>
        <v>10</v>
      </c>
      <c r="G50">
        <v>7</v>
      </c>
      <c r="H50" s="9">
        <f>SUMPRODUCT(B50:G50,$B$3:$G$3)/SUM($B$3:$G$3)</f>
        <v>4.0909090909090908</v>
      </c>
    </row>
    <row r="51" spans="1:8">
      <c r="A51" t="s">
        <v>17</v>
      </c>
      <c r="B51">
        <f>VLOOKUP(Model!D91,Results!$K$8:$L$18,2,1)</f>
        <v>1</v>
      </c>
      <c r="C51">
        <f>VLOOKUP(Model!E91,Results!$N$8:$O$18,2,1)</f>
        <v>1</v>
      </c>
      <c r="D51">
        <f>VLOOKUP(Model!G91,Results!$Q$8:$R$18,2,1)</f>
        <v>1</v>
      </c>
      <c r="E51">
        <f>VLOOKUP(Model!I91,Results!$T$8:$U$18,2,1)</f>
        <v>1</v>
      </c>
      <c r="G51">
        <v>7</v>
      </c>
      <c r="H51" s="9">
        <f>SUMPRODUCT(B51:G51,$B$3:$G$3)/SUM($B$3:$G$3)</f>
        <v>1.6363636363636365</v>
      </c>
    </row>
    <row r="52" spans="1:8">
      <c r="A52" t="s">
        <v>18</v>
      </c>
      <c r="B52">
        <f>VLOOKUP(Model!D58,Results!$K$8:$L$18,2,1)</f>
        <v>1</v>
      </c>
      <c r="C52">
        <f>VLOOKUP(Model!E58,Results!$N$8:$O$18,2,1)</f>
        <v>8</v>
      </c>
      <c r="D52">
        <f>VLOOKUP(Model!G58,Results!$Q$8:$R$18,2,1)</f>
        <v>1</v>
      </c>
      <c r="E52">
        <f>VLOOKUP(Model!I58,Results!$T$8:$U$18,2,1)</f>
        <v>9</v>
      </c>
      <c r="G52">
        <v>7</v>
      </c>
      <c r="H52" s="9">
        <f>SUMPRODUCT(B52:G52,$B$3:$G$3)/SUM($B$3:$G$3)</f>
        <v>4.121212121212122</v>
      </c>
    </row>
    <row r="53" spans="1:8">
      <c r="A53" t="s">
        <v>20</v>
      </c>
      <c r="B53">
        <f>VLOOKUP(Model!D124,Results!$K$8:$L$18,2,1)</f>
        <v>8</v>
      </c>
      <c r="C53">
        <f>VLOOKUP(Model!E124,Results!$N$8:$O$18,2,1)</f>
        <v>7</v>
      </c>
      <c r="D53">
        <f>VLOOKUP(Model!G124,Results!$Q$8:$R$18,2,1)</f>
        <v>10</v>
      </c>
      <c r="E53">
        <f>VLOOKUP(Model!I124,Results!$T$8:$U$18,2,1)</f>
        <v>10</v>
      </c>
      <c r="G53">
        <v>7</v>
      </c>
      <c r="H53" s="9">
        <f>SUMPRODUCT(B53:G53,$B$3:$G$3)/SUM($B$3:$G$3)</f>
        <v>7.8181818181818192</v>
      </c>
    </row>
    <row r="54" spans="1:8">
      <c r="H54" s="9"/>
    </row>
    <row r="55" spans="1:8">
      <c r="A55" s="52" t="s">
        <v>27</v>
      </c>
      <c r="B55" s="52"/>
      <c r="C55" s="52"/>
      <c r="D55" s="52"/>
      <c r="E55" s="52"/>
      <c r="F55" s="52"/>
      <c r="G55" s="52"/>
      <c r="H55" s="52"/>
    </row>
    <row r="56" spans="1:8">
      <c r="B56" s="1" t="s">
        <v>7</v>
      </c>
      <c r="C56" s="1" t="s">
        <v>8</v>
      </c>
      <c r="D56" s="1" t="s">
        <v>9</v>
      </c>
      <c r="E56" s="1" t="s">
        <v>10</v>
      </c>
      <c r="F56" s="1" t="s">
        <v>11</v>
      </c>
      <c r="G56" s="1" t="s">
        <v>12</v>
      </c>
      <c r="H56" s="1" t="s">
        <v>13</v>
      </c>
    </row>
    <row r="57" spans="1:8" ht="17.100000000000001" thickBot="1">
      <c r="A57" s="17" t="s">
        <v>22</v>
      </c>
      <c r="B57" s="18">
        <f>$K$3</f>
        <v>1.2</v>
      </c>
      <c r="C57" s="18">
        <f>$L$3</f>
        <v>1.2</v>
      </c>
      <c r="D57" s="18">
        <f>$M$3</f>
        <v>1.8</v>
      </c>
      <c r="E57" s="18">
        <f>$N$3</f>
        <v>1</v>
      </c>
      <c r="F57" s="18">
        <f>$O$3</f>
        <v>0.6</v>
      </c>
      <c r="G57" s="18">
        <f>$P$3</f>
        <v>0.8</v>
      </c>
      <c r="H57" s="18"/>
    </row>
    <row r="58" spans="1:8">
      <c r="A58" t="s">
        <v>15</v>
      </c>
      <c r="B58">
        <f>VLOOKUP(Model!D9,Results!$K$8:$L$18,2,1)</f>
        <v>10</v>
      </c>
      <c r="C58">
        <f>VLOOKUP(Model!E9,Results!$N$8:$O$18,2,1)</f>
        <v>10</v>
      </c>
      <c r="D58">
        <f>VLOOKUP(Model!G9,Results!$Q$8:$R$18,2,1)</f>
        <v>10</v>
      </c>
      <c r="E58">
        <f>VLOOKUP(Model!I9,Results!$T$8:$U$18,2,1)</f>
        <v>9</v>
      </c>
      <c r="G58">
        <v>7</v>
      </c>
      <c r="H58" s="9">
        <f>SUMPRODUCT(B58:G58,$B$3:$G$3)/SUM($B$3:$G$3)</f>
        <v>8.5757575757575761</v>
      </c>
    </row>
    <row r="59" spans="1:8">
      <c r="A59" t="s">
        <v>16</v>
      </c>
      <c r="B59">
        <f>VLOOKUP(Model!D26,Results!$K$8:$L$18,2,1)</f>
        <v>1</v>
      </c>
      <c r="C59">
        <f>VLOOKUP(Model!E26,Results!$N$8:$O$18,2,1)</f>
        <v>9</v>
      </c>
      <c r="D59">
        <f>VLOOKUP(Model!G26,Results!$Q$8:$R$18,2,1)</f>
        <v>1</v>
      </c>
      <c r="E59">
        <f>VLOOKUP(Model!I26,Results!$T$8:$U$18,2,1)</f>
        <v>10</v>
      </c>
      <c r="G59">
        <v>7</v>
      </c>
      <c r="H59" s="9">
        <f>SUMPRODUCT(B59:G59,$B$3:$G$3)/SUM($B$3:$G$3)</f>
        <v>4.4545454545454541</v>
      </c>
    </row>
    <row r="60" spans="1:8">
      <c r="A60" t="s">
        <v>17</v>
      </c>
      <c r="B60">
        <f>VLOOKUP(Model!D92,Results!$K$8:$L$18,2,1)</f>
        <v>1</v>
      </c>
      <c r="C60">
        <f>VLOOKUP(Model!E92,Results!$N$8:$O$18,2,1)</f>
        <v>1</v>
      </c>
      <c r="D60">
        <f>VLOOKUP(Model!G92,Results!$Q$8:$R$18,2,1)</f>
        <v>1</v>
      </c>
      <c r="E60">
        <f>VLOOKUP(Model!I92,Results!$T$8:$U$18,2,1)</f>
        <v>1</v>
      </c>
      <c r="G60">
        <v>7</v>
      </c>
      <c r="H60" s="9">
        <f>SUMPRODUCT(B60:G60,$B$3:$G$3)/SUM($B$3:$G$3)</f>
        <v>1.6363636363636365</v>
      </c>
    </row>
    <row r="61" spans="1:8">
      <c r="A61" t="s">
        <v>18</v>
      </c>
      <c r="B61">
        <f>VLOOKUP(Model!D59,Results!$K$8:$L$18,2,1)</f>
        <v>1</v>
      </c>
      <c r="C61">
        <f>VLOOKUP(Model!E59,Results!$N$8:$O$18,2,1)</f>
        <v>6</v>
      </c>
      <c r="D61">
        <f>VLOOKUP(Model!G59,Results!$Q$8:$R$18,2,1)</f>
        <v>1</v>
      </c>
      <c r="E61">
        <f>VLOOKUP(Model!I59,Results!$T$8:$U$18,2,1)</f>
        <v>8</v>
      </c>
      <c r="G61">
        <v>7</v>
      </c>
      <c r="H61" s="9">
        <f>SUMPRODUCT(B61:G61,$B$3:$G$3)/SUM($B$3:$G$3)</f>
        <v>3.6060606060606064</v>
      </c>
    </row>
    <row r="62" spans="1:8">
      <c r="A62" t="s">
        <v>20</v>
      </c>
      <c r="B62">
        <f>VLOOKUP(Model!D125,Results!$K$8:$L$18,2,1)</f>
        <v>10</v>
      </c>
      <c r="C62">
        <f>VLOOKUP(Model!E125,Results!$N$8:$O$18,2,1)</f>
        <v>5</v>
      </c>
      <c r="D62">
        <f>VLOOKUP(Model!G125,Results!$Q$8:$R$18,2,1)</f>
        <v>10</v>
      </c>
      <c r="E62">
        <f>VLOOKUP(Model!I125,Results!$T$8:$U$18,2,1)</f>
        <v>10</v>
      </c>
      <c r="G62">
        <v>7</v>
      </c>
      <c r="H62" s="9">
        <f>SUMPRODUCT(B62:G62,$B$3:$G$3)/SUM($B$3:$G$3)</f>
        <v>7.8181818181818192</v>
      </c>
    </row>
    <row r="63" spans="1:8">
      <c r="H63" s="9"/>
    </row>
    <row r="64" spans="1:8">
      <c r="A64" s="52" t="s">
        <v>28</v>
      </c>
      <c r="B64" s="52"/>
      <c r="C64" s="52"/>
      <c r="D64" s="52"/>
      <c r="E64" s="52"/>
      <c r="F64" s="52"/>
      <c r="G64" s="52"/>
      <c r="H64" s="52"/>
    </row>
    <row r="65" spans="1:8">
      <c r="B65" s="1" t="s">
        <v>7</v>
      </c>
      <c r="C65" s="1" t="s">
        <v>8</v>
      </c>
      <c r="D65" s="1" t="s">
        <v>9</v>
      </c>
      <c r="E65" s="1" t="s">
        <v>10</v>
      </c>
      <c r="F65" s="1" t="s">
        <v>11</v>
      </c>
      <c r="G65" s="1" t="s">
        <v>12</v>
      </c>
      <c r="H65" s="1" t="s">
        <v>13</v>
      </c>
    </row>
    <row r="66" spans="1:8" ht="17.100000000000001" thickBot="1">
      <c r="A66" s="17" t="s">
        <v>22</v>
      </c>
      <c r="B66" s="18">
        <f>$K$3</f>
        <v>1.2</v>
      </c>
      <c r="C66" s="18">
        <f>$L$3</f>
        <v>1.2</v>
      </c>
      <c r="D66" s="18">
        <f>$M$3</f>
        <v>1.8</v>
      </c>
      <c r="E66" s="18">
        <f>$N$3</f>
        <v>1</v>
      </c>
      <c r="F66" s="18">
        <f>$O$3</f>
        <v>0.6</v>
      </c>
      <c r="G66" s="18">
        <f>$P$3</f>
        <v>0.8</v>
      </c>
      <c r="H66" s="18"/>
    </row>
    <row r="67" spans="1:8">
      <c r="A67" t="s">
        <v>15</v>
      </c>
      <c r="B67">
        <f>VLOOKUP(Model!D10,Results!$K$8:$L$18,2,1)</f>
        <v>8</v>
      </c>
      <c r="C67">
        <f>VLOOKUP(Model!E10,Results!$N$8:$O$18,2,1)</f>
        <v>10</v>
      </c>
      <c r="D67">
        <f>VLOOKUP(Model!G10,Results!$Q$8:$R$18,2,1)</f>
        <v>6</v>
      </c>
      <c r="E67">
        <f>VLOOKUP(Model!I10,Results!$T$8:$U$18,2,1)</f>
        <v>10</v>
      </c>
      <c r="G67">
        <v>7</v>
      </c>
      <c r="H67" s="9">
        <f>SUMPRODUCT(B67:G67,$B$3:$G$3)/SUM($B$3:$G$3)</f>
        <v>7.2727272727272743</v>
      </c>
    </row>
    <row r="68" spans="1:8">
      <c r="A68" t="s">
        <v>16</v>
      </c>
      <c r="B68">
        <f>VLOOKUP(Model!D27,Results!$K$8:$L$18,2,1)</f>
        <v>1</v>
      </c>
      <c r="C68">
        <f>VLOOKUP(Model!E27,Results!$N$8:$O$18,2,1)</f>
        <v>7</v>
      </c>
      <c r="D68">
        <f>VLOOKUP(Model!G27,Results!$Q$8:$R$18,2,1)</f>
        <v>1</v>
      </c>
      <c r="E68">
        <f>VLOOKUP(Model!I27,Results!$T$8:$U$18,2,1)</f>
        <v>10</v>
      </c>
      <c r="G68">
        <v>7</v>
      </c>
      <c r="H68" s="9">
        <f>SUMPRODUCT(B68:G68,$B$3:$G$3)/SUM($B$3:$G$3)</f>
        <v>4.0909090909090908</v>
      </c>
    </row>
    <row r="69" spans="1:8">
      <c r="A69" t="s">
        <v>17</v>
      </c>
      <c r="B69">
        <f>VLOOKUP(Model!D93,Results!$K$8:$L$18,2,1)</f>
        <v>1</v>
      </c>
      <c r="C69">
        <f>VLOOKUP(Model!E93,Results!$N$8:$O$18,2,1)</f>
        <v>1</v>
      </c>
      <c r="D69">
        <f>VLOOKUP(Model!G93,Results!$Q$8:$R$18,2,1)</f>
        <v>1</v>
      </c>
      <c r="E69">
        <f>VLOOKUP(Model!I93,Results!$T$8:$U$18,2,1)</f>
        <v>1</v>
      </c>
      <c r="G69">
        <v>7</v>
      </c>
      <c r="H69" s="9">
        <f>SUMPRODUCT(B69:G69,$B$3:$G$3)/SUM($B$3:$G$3)</f>
        <v>1.6363636363636365</v>
      </c>
    </row>
    <row r="70" spans="1:8">
      <c r="A70" t="s">
        <v>18</v>
      </c>
      <c r="B70">
        <f>VLOOKUP(Model!D60,Results!$K$8:$L$18,2,1)</f>
        <v>1</v>
      </c>
      <c r="C70">
        <f>VLOOKUP(Model!E60,Results!$N$8:$O$18,2,1)</f>
        <v>8</v>
      </c>
      <c r="D70">
        <f>VLOOKUP(Model!G60,Results!$Q$8:$R$18,2,1)</f>
        <v>1</v>
      </c>
      <c r="E70">
        <f>VLOOKUP(Model!I60,Results!$T$8:$U$18,2,1)</f>
        <v>10</v>
      </c>
      <c r="G70">
        <v>7</v>
      </c>
      <c r="H70" s="9">
        <f>SUMPRODUCT(B70:G70,$B$3:$G$3)/SUM($B$3:$G$3)</f>
        <v>4.2727272727272734</v>
      </c>
    </row>
    <row r="71" spans="1:8">
      <c r="A71" t="s">
        <v>20</v>
      </c>
      <c r="B71">
        <f>VLOOKUP(Model!D126,Results!$K$8:$L$18,2,1)</f>
        <v>6</v>
      </c>
      <c r="C71">
        <f>VLOOKUP(Model!E126,Results!$N$8:$O$18,2,1)</f>
        <v>4</v>
      </c>
      <c r="D71">
        <f>VLOOKUP(Model!G126,Results!$Q$8:$R$18,2,1)</f>
        <v>7</v>
      </c>
      <c r="E71">
        <f>VLOOKUP(Model!I126,Results!$T$8:$U$18,2,1)</f>
        <v>8</v>
      </c>
      <c r="G71">
        <v>7</v>
      </c>
      <c r="H71" s="9">
        <f>SUMPRODUCT(B71:G71,$B$3:$G$3)/SUM($B$3:$G$3)</f>
        <v>5.787878787878789</v>
      </c>
    </row>
    <row r="72" spans="1:8">
      <c r="H72" s="9"/>
    </row>
    <row r="73" spans="1:8">
      <c r="A73" s="52" t="s">
        <v>29</v>
      </c>
      <c r="B73" s="52"/>
      <c r="C73" s="52"/>
      <c r="D73" s="52"/>
      <c r="E73" s="52"/>
      <c r="F73" s="52"/>
      <c r="G73" s="52"/>
      <c r="H73" s="52"/>
    </row>
    <row r="74" spans="1:8">
      <c r="B74" s="1" t="s">
        <v>7</v>
      </c>
      <c r="C74" s="1" t="s">
        <v>8</v>
      </c>
      <c r="D74" s="1" t="s">
        <v>9</v>
      </c>
      <c r="E74" s="1" t="s">
        <v>10</v>
      </c>
      <c r="F74" s="1" t="s">
        <v>11</v>
      </c>
      <c r="G74" s="1" t="s">
        <v>12</v>
      </c>
      <c r="H74" s="1" t="s">
        <v>13</v>
      </c>
    </row>
    <row r="75" spans="1:8" ht="17.100000000000001" thickBot="1">
      <c r="A75" s="17" t="s">
        <v>22</v>
      </c>
      <c r="B75" s="18">
        <f>$K$3</f>
        <v>1.2</v>
      </c>
      <c r="C75" s="18">
        <f>$L$3</f>
        <v>1.2</v>
      </c>
      <c r="D75" s="18">
        <f>$M$3</f>
        <v>1.8</v>
      </c>
      <c r="E75" s="18">
        <f>$N$3</f>
        <v>1</v>
      </c>
      <c r="F75" s="18">
        <f>$O$3</f>
        <v>0.6</v>
      </c>
      <c r="G75" s="18">
        <f>$P$3</f>
        <v>0.8</v>
      </c>
      <c r="H75" s="18"/>
    </row>
    <row r="76" spans="1:8">
      <c r="A76" t="s">
        <v>15</v>
      </c>
      <c r="B76">
        <f>VLOOKUP(Model!D11,Results!$K$8:$L$18,2,1)</f>
        <v>10</v>
      </c>
      <c r="C76">
        <f>VLOOKUP(Model!E11,Results!$N$8:$O$18,2,1)</f>
        <v>7</v>
      </c>
      <c r="D76">
        <f>VLOOKUP(Model!G11,Results!$Q$8:$R$18,2,1)</f>
        <v>7</v>
      </c>
      <c r="E76">
        <f>VLOOKUP(Model!I11,Results!$T$8:$U$18,2,1)</f>
        <v>10</v>
      </c>
      <c r="G76">
        <v>7</v>
      </c>
      <c r="H76" s="9">
        <f>SUMPRODUCT(B76:G76,$B$3:$G$3)/SUM($B$3:$G$3)</f>
        <v>7.3636363636363642</v>
      </c>
    </row>
    <row r="77" spans="1:8">
      <c r="A77" t="s">
        <v>16</v>
      </c>
      <c r="B77">
        <f>VLOOKUP(Model!D28,Results!$K$8:$L$18,2,1)</f>
        <v>1</v>
      </c>
      <c r="C77">
        <f>VLOOKUP(Model!E28,Results!$N$8:$O$18,2,1)</f>
        <v>7</v>
      </c>
      <c r="D77">
        <f>VLOOKUP(Model!G28,Results!$Q$8:$R$18,2,1)</f>
        <v>1</v>
      </c>
      <c r="E77">
        <f>VLOOKUP(Model!I28,Results!$T$8:$U$18,2,1)</f>
        <v>10</v>
      </c>
      <c r="G77">
        <v>7</v>
      </c>
      <c r="H77" s="9">
        <f>SUMPRODUCT(B77:G77,$B$3:$G$3)/SUM($B$3:$G$3)</f>
        <v>4.0909090909090908</v>
      </c>
    </row>
    <row r="78" spans="1:8">
      <c r="A78" t="s">
        <v>17</v>
      </c>
      <c r="B78">
        <f>VLOOKUP(Model!D94,Results!$K$8:$L$18,2,1)</f>
        <v>1</v>
      </c>
      <c r="C78">
        <f>VLOOKUP(Model!E94,Results!$N$8:$O$18,2,1)</f>
        <v>1</v>
      </c>
      <c r="D78">
        <f>VLOOKUP(Model!G94,Results!$Q$8:$R$18,2,1)</f>
        <v>1</v>
      </c>
      <c r="E78">
        <f>VLOOKUP(Model!I94,Results!$T$8:$U$18,2,1)</f>
        <v>1</v>
      </c>
      <c r="G78">
        <v>7</v>
      </c>
      <c r="H78" s="9">
        <f>SUMPRODUCT(B78:G78,$B$3:$G$3)/SUM($B$3:$G$3)</f>
        <v>1.6363636363636365</v>
      </c>
    </row>
    <row r="79" spans="1:8">
      <c r="A79" t="s">
        <v>18</v>
      </c>
      <c r="B79">
        <f>VLOOKUP(Model!D61,Results!$K$8:$L$18,2,1)</f>
        <v>1</v>
      </c>
      <c r="C79">
        <f>VLOOKUP(Model!E61,Results!$N$8:$O$18,2,1)</f>
        <v>9</v>
      </c>
      <c r="D79">
        <f>VLOOKUP(Model!G61,Results!$Q$8:$R$18,2,1)</f>
        <v>1</v>
      </c>
      <c r="E79">
        <f>VLOOKUP(Model!I61,Results!$T$8:$U$18,2,1)</f>
        <v>10</v>
      </c>
      <c r="G79">
        <v>7</v>
      </c>
      <c r="H79" s="9">
        <f>SUMPRODUCT(B79:G79,$B$3:$G$3)/SUM($B$3:$G$3)</f>
        <v>4.4545454545454541</v>
      </c>
    </row>
    <row r="80" spans="1:8">
      <c r="A80" t="s">
        <v>20</v>
      </c>
      <c r="B80">
        <f>VLOOKUP(Model!D127,Results!$K$8:$L$18,2,1)</f>
        <v>4</v>
      </c>
      <c r="C80">
        <f>VLOOKUP(Model!E127,Results!$N$8:$O$18,2,1)</f>
        <v>1</v>
      </c>
      <c r="D80">
        <f>VLOOKUP(Model!G127,Results!$Q$8:$R$18,2,1)</f>
        <v>10</v>
      </c>
      <c r="E80">
        <f>VLOOKUP(Model!I127,Results!$T$8:$U$18,2,1)</f>
        <v>6</v>
      </c>
      <c r="G80">
        <v>7</v>
      </c>
      <c r="H80" s="9">
        <f>SUMPRODUCT(B80:G80,$B$3:$G$3)/SUM($B$3:$G$3)</f>
        <v>5.3939393939393945</v>
      </c>
    </row>
    <row r="81" spans="1:8">
      <c r="H81" s="9"/>
    </row>
    <row r="82" spans="1:8">
      <c r="A82" s="52" t="s">
        <v>30</v>
      </c>
      <c r="B82" s="52"/>
      <c r="C82" s="52"/>
      <c r="D82" s="52"/>
      <c r="E82" s="52"/>
      <c r="F82" s="52"/>
      <c r="G82" s="52"/>
      <c r="H82" s="52"/>
    </row>
    <row r="83" spans="1:8">
      <c r="B83" s="1" t="s">
        <v>7</v>
      </c>
      <c r="C83" s="1" t="s">
        <v>8</v>
      </c>
      <c r="D83" s="1" t="s">
        <v>9</v>
      </c>
      <c r="E83" s="1" t="s">
        <v>10</v>
      </c>
      <c r="F83" s="1" t="s">
        <v>11</v>
      </c>
      <c r="G83" s="1" t="s">
        <v>12</v>
      </c>
      <c r="H83" s="1" t="s">
        <v>13</v>
      </c>
    </row>
    <row r="84" spans="1:8" ht="17.100000000000001" thickBot="1">
      <c r="A84" s="17" t="s">
        <v>22</v>
      </c>
      <c r="B84" s="18">
        <f>$K$3</f>
        <v>1.2</v>
      </c>
      <c r="C84" s="18">
        <f>$L$3</f>
        <v>1.2</v>
      </c>
      <c r="D84" s="18">
        <f>$M$3</f>
        <v>1.8</v>
      </c>
      <c r="E84" s="18">
        <f>$N$3</f>
        <v>1</v>
      </c>
      <c r="F84" s="18">
        <f>$O$3</f>
        <v>0.6</v>
      </c>
      <c r="G84" s="18">
        <f>$P$3</f>
        <v>0.8</v>
      </c>
      <c r="H84" s="18"/>
    </row>
    <row r="85" spans="1:8">
      <c r="A85" t="s">
        <v>15</v>
      </c>
      <c r="B85">
        <f>VLOOKUP(Model!D12,Results!$K$8:$L$18,2,1)</f>
        <v>8</v>
      </c>
      <c r="C85">
        <f>VLOOKUP(Model!E12,Results!$N$8:$O$18,2,1)</f>
        <v>9</v>
      </c>
      <c r="D85">
        <f>VLOOKUP(Model!G12,Results!$Q$8:$R$18,2,1)</f>
        <v>8</v>
      </c>
      <c r="E85">
        <f>VLOOKUP(Model!I12,Results!$T$8:$U$18,2,1)</f>
        <v>10</v>
      </c>
      <c r="G85">
        <v>7</v>
      </c>
      <c r="H85" s="9">
        <f>SUMPRODUCT(B85:G85,$B$3:$G$3)/SUM($B$3:$G$3)</f>
        <v>7.6363636363636367</v>
      </c>
    </row>
    <row r="86" spans="1:8">
      <c r="A86" t="s">
        <v>16</v>
      </c>
      <c r="B86">
        <f>VLOOKUP(Model!D29,Results!$K$8:$L$18,2,1)</f>
        <v>1</v>
      </c>
      <c r="C86">
        <f>VLOOKUP(Model!E29,Results!$N$8:$O$18,2,1)</f>
        <v>8</v>
      </c>
      <c r="D86">
        <f>VLOOKUP(Model!G29,Results!$Q$8:$R$18,2,1)</f>
        <v>1</v>
      </c>
      <c r="E86">
        <f>VLOOKUP(Model!I29,Results!$T$8:$U$18,2,1)</f>
        <v>10</v>
      </c>
      <c r="G86">
        <v>7</v>
      </c>
      <c r="H86" s="9">
        <f>SUMPRODUCT(B86:G86,$B$3:$G$3)/SUM($B$3:$G$3)</f>
        <v>4.2727272727272734</v>
      </c>
    </row>
    <row r="87" spans="1:8">
      <c r="A87" t="s">
        <v>17</v>
      </c>
      <c r="B87">
        <f>VLOOKUP(Model!D95,Results!$K$8:$L$18,2,1)</f>
        <v>1</v>
      </c>
      <c r="C87">
        <f>VLOOKUP(Model!E95,Results!$N$8:$O$18,2,1)</f>
        <v>1</v>
      </c>
      <c r="D87">
        <f>VLOOKUP(Model!G95,Results!$Q$8:$R$18,2,1)</f>
        <v>1</v>
      </c>
      <c r="E87">
        <f>VLOOKUP(Model!I95,Results!$T$8:$U$18,2,1)</f>
        <v>1</v>
      </c>
      <c r="G87">
        <v>7</v>
      </c>
      <c r="H87" s="9">
        <f>SUMPRODUCT(B87:G87,$B$3:$G$3)/SUM($B$3:$G$3)</f>
        <v>1.6363636363636365</v>
      </c>
    </row>
    <row r="88" spans="1:8">
      <c r="A88" t="s">
        <v>18</v>
      </c>
      <c r="B88">
        <f>VLOOKUP(Model!D62,Results!$K$8:$L$18,2,1)</f>
        <v>1</v>
      </c>
      <c r="C88">
        <f>VLOOKUP(Model!E62,Results!$N$8:$O$18,2,1)</f>
        <v>4</v>
      </c>
      <c r="D88">
        <f>VLOOKUP(Model!G62,Results!$Q$8:$R$18,2,1)</f>
        <v>1</v>
      </c>
      <c r="E88">
        <f>VLOOKUP(Model!I62,Results!$T$8:$U$18,2,1)</f>
        <v>7</v>
      </c>
      <c r="G88">
        <v>7</v>
      </c>
      <c r="H88" s="9">
        <f>SUMPRODUCT(B88:G88,$B$3:$G$3)/SUM($B$3:$G$3)</f>
        <v>3.0909090909090913</v>
      </c>
    </row>
    <row r="89" spans="1:8">
      <c r="A89" t="s">
        <v>20</v>
      </c>
      <c r="B89">
        <f>VLOOKUP(Model!D128,Results!$K$8:$L$18,2,1)</f>
        <v>6</v>
      </c>
      <c r="C89">
        <f>VLOOKUP(Model!E128,Results!$N$8:$O$18,2,1)</f>
        <v>1</v>
      </c>
      <c r="D89">
        <f>VLOOKUP(Model!G128,Results!$Q$8:$R$18,2,1)</f>
        <v>7</v>
      </c>
      <c r="E89">
        <f>VLOOKUP(Model!I128,Results!$T$8:$U$18,2,1)</f>
        <v>8</v>
      </c>
      <c r="G89">
        <v>7</v>
      </c>
      <c r="H89" s="9">
        <f>SUMPRODUCT(B89:G89,$B$3:$G$3)/SUM($B$3:$G$3)</f>
        <v>5.2424242424242431</v>
      </c>
    </row>
    <row r="91" spans="1:8">
      <c r="A91" s="52" t="s">
        <v>31</v>
      </c>
      <c r="B91" s="52"/>
      <c r="C91" s="52"/>
      <c r="D91" s="52"/>
      <c r="E91" s="52"/>
      <c r="F91" s="52"/>
      <c r="G91" s="52"/>
      <c r="H91" s="52"/>
    </row>
    <row r="92" spans="1:8">
      <c r="B92" s="1" t="s">
        <v>7</v>
      </c>
      <c r="C92" s="1" t="s">
        <v>8</v>
      </c>
      <c r="D92" s="1" t="s">
        <v>9</v>
      </c>
      <c r="E92" s="1" t="s">
        <v>10</v>
      </c>
      <c r="F92" s="1" t="s">
        <v>11</v>
      </c>
      <c r="G92" s="1" t="s">
        <v>12</v>
      </c>
      <c r="H92" s="1" t="s">
        <v>13</v>
      </c>
    </row>
    <row r="93" spans="1:8" ht="17.100000000000001" thickBot="1">
      <c r="A93" s="17" t="s">
        <v>22</v>
      </c>
      <c r="B93" s="18">
        <f>$K$3</f>
        <v>1.2</v>
      </c>
      <c r="C93" s="18">
        <f>$L$3</f>
        <v>1.2</v>
      </c>
      <c r="D93" s="18">
        <f>$M$3</f>
        <v>1.8</v>
      </c>
      <c r="E93" s="18">
        <f>$N$3</f>
        <v>1</v>
      </c>
      <c r="F93" s="18">
        <f>$O$3</f>
        <v>0.6</v>
      </c>
      <c r="G93" s="18">
        <f>$P$3</f>
        <v>0.8</v>
      </c>
      <c r="H93" s="18"/>
    </row>
    <row r="94" spans="1:8">
      <c r="A94" t="s">
        <v>15</v>
      </c>
      <c r="B94">
        <f>VLOOKUP(Model!D13,Results!$K$8:$L$18,2,1)</f>
        <v>10</v>
      </c>
      <c r="C94">
        <f>VLOOKUP(Model!E13,Results!$K$8:$L$18,2,1)</f>
        <v>10</v>
      </c>
      <c r="D94">
        <f>VLOOKUP(Model!G13,Results!$K$8:$L$18,2,1)</f>
        <v>10</v>
      </c>
      <c r="E94">
        <f>VLOOKUP(Model!I13,Results!$K$8:$L$18,2,1)</f>
        <v>10</v>
      </c>
      <c r="G94">
        <v>7</v>
      </c>
      <c r="H94" s="9">
        <f>SUMPRODUCT(B94:G94,$B$3:$G$3)/SUM($B$3:$G$3)</f>
        <v>8.7272727272727284</v>
      </c>
    </row>
    <row r="95" spans="1:8">
      <c r="A95" t="s">
        <v>16</v>
      </c>
      <c r="B95">
        <f>VLOOKUP(Model!D30,Results!$K$8:$L$18,2,1)</f>
        <v>1</v>
      </c>
      <c r="C95">
        <f>VLOOKUP(Model!E30,Results!$K$8:$L$18,2,1)</f>
        <v>10</v>
      </c>
      <c r="D95">
        <f>VLOOKUP(Model!G30,Results!$K$8:$L$18,2,1)</f>
        <v>1</v>
      </c>
      <c r="E95">
        <f>VLOOKUP(Model!I30,Results!$K$8:$L$18,2,1)</f>
        <v>10</v>
      </c>
      <c r="G95">
        <v>7</v>
      </c>
      <c r="H95" s="9">
        <f>SUMPRODUCT(B95:G95,$B$3:$G$3)/SUM($B$3:$G$3)</f>
        <v>4.6363636363636367</v>
      </c>
    </row>
    <row r="96" spans="1:8">
      <c r="A96" t="s">
        <v>32</v>
      </c>
      <c r="B96">
        <f>VLOOKUP(Model!D96,Results!$K$8:$L$18,2,1)</f>
        <v>8</v>
      </c>
      <c r="C96">
        <f>VLOOKUP(Model!E96,Results!$K$8:$L$18,2,1)</f>
        <v>9</v>
      </c>
      <c r="D96">
        <f>VLOOKUP(Model!G96,Results!$K$8:$L$18,2,1)</f>
        <v>8</v>
      </c>
      <c r="E96">
        <f>VLOOKUP(Model!I96,Results!$K$8:$L$18,2,1)</f>
        <v>10</v>
      </c>
      <c r="G96">
        <v>7</v>
      </c>
      <c r="H96" s="9">
        <f>SUMPRODUCT(B96:G96,$B$3:$G$3)/SUM($B$3:$G$3)</f>
        <v>7.6363636363636367</v>
      </c>
    </row>
    <row r="97" spans="1:8">
      <c r="A97" t="s">
        <v>18</v>
      </c>
      <c r="B97">
        <f>VLOOKUP(Model!D63,Results!$K$8:$L$18,2,1)</f>
        <v>1</v>
      </c>
      <c r="C97">
        <f>VLOOKUP(Model!E63,Results!$K$8:$L$18,2,1)</f>
        <v>2</v>
      </c>
      <c r="D97">
        <f>VLOOKUP(Model!G63,Results!$K$8:$L$18,2,1)</f>
        <v>1</v>
      </c>
      <c r="E97">
        <f>VLOOKUP(Model!I63,Results!$K$8:$L$18,2,1)</f>
        <v>6</v>
      </c>
      <c r="G97">
        <v>7</v>
      </c>
      <c r="H97" s="9">
        <f>SUMPRODUCT(B97:G97,$B$3:$G$3)/SUM($B$3:$G$3)</f>
        <v>2.5757575757575757</v>
      </c>
    </row>
    <row r="98" spans="1:8">
      <c r="A98" t="s">
        <v>20</v>
      </c>
      <c r="B98">
        <f>VLOOKUP(Model!D129,Results!$K$8:$L$18,2,1)</f>
        <v>1</v>
      </c>
      <c r="C98">
        <f>VLOOKUP(Model!E129,Results!$K$8:$L$18,2,1)</f>
        <v>1</v>
      </c>
      <c r="D98">
        <f>VLOOKUP(Model!G129,Results!$K$8:$L$18,2,1)</f>
        <v>4</v>
      </c>
      <c r="E98">
        <f>VLOOKUP(Model!I129,Results!$K$8:$L$18,2,1)</f>
        <v>4</v>
      </c>
      <c r="G98">
        <v>7</v>
      </c>
      <c r="H98" s="9">
        <f>SUMPRODUCT(B98:G98,$B$3:$G$3)/SUM($B$3:$G$3)</f>
        <v>2.9090909090909092</v>
      </c>
    </row>
    <row r="99" spans="1:8">
      <c r="H99" s="9"/>
    </row>
    <row r="100" spans="1:8">
      <c r="A100" s="52" t="s">
        <v>33</v>
      </c>
      <c r="B100" s="52"/>
      <c r="C100" s="52"/>
      <c r="D100" s="52"/>
      <c r="E100" s="52"/>
      <c r="F100" s="52"/>
      <c r="G100" s="52"/>
      <c r="H100" s="52"/>
    </row>
    <row r="101" spans="1:8">
      <c r="B101" s="1" t="s">
        <v>7</v>
      </c>
      <c r="C101" s="1" t="s">
        <v>8</v>
      </c>
      <c r="D101" s="1" t="s">
        <v>9</v>
      </c>
      <c r="E101" s="1" t="s">
        <v>10</v>
      </c>
      <c r="F101" s="1" t="s">
        <v>11</v>
      </c>
      <c r="G101" s="1" t="s">
        <v>12</v>
      </c>
      <c r="H101" s="1" t="s">
        <v>13</v>
      </c>
    </row>
    <row r="102" spans="1:8" ht="17.100000000000001" thickBot="1">
      <c r="A102" s="17" t="s">
        <v>22</v>
      </c>
      <c r="B102" s="18">
        <f>$K$3</f>
        <v>1.2</v>
      </c>
      <c r="C102" s="18">
        <f>$L$3</f>
        <v>1.2</v>
      </c>
      <c r="D102" s="18">
        <f>$M$3</f>
        <v>1.8</v>
      </c>
      <c r="E102" s="18">
        <f>$N$3</f>
        <v>1</v>
      </c>
      <c r="F102" s="18">
        <f>$O$3</f>
        <v>0.6</v>
      </c>
      <c r="G102" s="18">
        <f>$P$3</f>
        <v>0.8</v>
      </c>
      <c r="H102" s="18"/>
    </row>
    <row r="103" spans="1:8">
      <c r="A103" t="s">
        <v>15</v>
      </c>
      <c r="B103" s="24"/>
      <c r="C103" s="24"/>
      <c r="D103" s="24"/>
      <c r="E103" s="24"/>
      <c r="F103" s="24"/>
      <c r="G103" s="24"/>
      <c r="H103" s="25"/>
    </row>
    <row r="104" spans="1:8">
      <c r="A104" t="s">
        <v>16</v>
      </c>
      <c r="B104">
        <f>VLOOKUP(Model!D31,Results!$K$8:$L$18,2,1)</f>
        <v>6</v>
      </c>
      <c r="C104">
        <f>VLOOKUP(Model!E31,Results!$K$8:$L$18,2,1)</f>
        <v>9</v>
      </c>
      <c r="D104">
        <f>VLOOKUP(Model!G31,Results!$K$8:$L$18,2,1)</f>
        <v>7</v>
      </c>
      <c r="E104">
        <f>VLOOKUP(Model!I31,Results!$K$8:$L$18,2,1)</f>
        <v>10</v>
      </c>
      <c r="G104">
        <v>7</v>
      </c>
      <c r="H104" s="9">
        <f>SUMPRODUCT(B104:G104,$B$3:$G$3)/SUM($B$3:$G$3)</f>
        <v>7.0000000000000009</v>
      </c>
    </row>
    <row r="105" spans="1:8">
      <c r="A105" t="s">
        <v>32</v>
      </c>
      <c r="B105">
        <f>VLOOKUP(Model!D97,Results!$K$8:$L$18,2,1)</f>
        <v>6</v>
      </c>
      <c r="C105">
        <f>VLOOKUP(Model!E97,Results!$K$8:$L$18,2,1)</f>
        <v>8</v>
      </c>
      <c r="D105">
        <f>VLOOKUP(Model!G97,Results!$K$8:$L$18,2,1)</f>
        <v>6</v>
      </c>
      <c r="E105">
        <f>VLOOKUP(Model!I97,Results!$K$8:$L$18,2,1)</f>
        <v>9</v>
      </c>
      <c r="G105">
        <v>7</v>
      </c>
      <c r="H105" s="9">
        <f>SUMPRODUCT(B105:G105,$B$3:$G$3)/SUM($B$3:$G$3)</f>
        <v>6.3939393939393936</v>
      </c>
    </row>
    <row r="106" spans="1:8">
      <c r="A106" t="s">
        <v>18</v>
      </c>
      <c r="B106">
        <f>VLOOKUP(Model!D64,Results!$K$8:$L$18,2,1)</f>
        <v>6</v>
      </c>
      <c r="C106">
        <f>VLOOKUP(Model!E64,Results!$K$8:$L$18,2,1)</f>
        <v>10</v>
      </c>
      <c r="D106">
        <f>VLOOKUP(Model!G64,Results!$K$8:$L$18,2,1)</f>
        <v>5</v>
      </c>
      <c r="E106">
        <f>VLOOKUP(Model!I64,Results!$K$8:$L$18,2,1)</f>
        <v>10</v>
      </c>
      <c r="G106">
        <v>7</v>
      </c>
      <c r="H106" s="9">
        <f>SUMPRODUCT(B106:G106,$B$3:$G$3)/SUM($B$3:$G$3)</f>
        <v>6.6363636363636376</v>
      </c>
    </row>
    <row r="107" spans="1:8">
      <c r="A107" t="s">
        <v>20</v>
      </c>
      <c r="B107">
        <f>VLOOKUP(Model!D130,Results!$K$8:$L$18,2,1)</f>
        <v>2</v>
      </c>
      <c r="C107">
        <f>VLOOKUP(Model!E130,Results!$K$8:$L$18,2,1)</f>
        <v>4</v>
      </c>
      <c r="D107">
        <f>VLOOKUP(Model!G130,Results!$K$8:$L$18,2,1)</f>
        <v>10</v>
      </c>
      <c r="E107">
        <v>0</v>
      </c>
      <c r="G107">
        <v>7</v>
      </c>
      <c r="H107" s="9">
        <f>SUMPRODUCT(B107:G107,$B$3:$G$3)/SUM($B$3:$G$3)</f>
        <v>4.666666666666667</v>
      </c>
    </row>
    <row r="108" spans="1:8">
      <c r="A108" t="s">
        <v>34</v>
      </c>
      <c r="H108" s="9"/>
    </row>
    <row r="109" spans="1:8">
      <c r="H109" s="9"/>
    </row>
    <row r="110" spans="1:8">
      <c r="A110" s="52" t="s">
        <v>35</v>
      </c>
      <c r="B110" s="52"/>
      <c r="C110" s="52"/>
      <c r="D110" s="52"/>
      <c r="E110" s="52"/>
      <c r="F110" s="52"/>
      <c r="G110" s="52"/>
      <c r="H110" s="52"/>
    </row>
    <row r="111" spans="1:8">
      <c r="B111" s="1" t="s">
        <v>7</v>
      </c>
      <c r="C111" s="1" t="s">
        <v>8</v>
      </c>
      <c r="D111" s="1" t="s">
        <v>9</v>
      </c>
      <c r="E111" s="1" t="s">
        <v>10</v>
      </c>
      <c r="F111" s="1" t="s">
        <v>11</v>
      </c>
      <c r="G111" s="1" t="s">
        <v>12</v>
      </c>
      <c r="H111" s="1" t="s">
        <v>13</v>
      </c>
    </row>
    <row r="112" spans="1:8" ht="17.100000000000001" thickBot="1">
      <c r="A112" s="17" t="s">
        <v>22</v>
      </c>
      <c r="B112" s="18">
        <f>$K$3</f>
        <v>1.2</v>
      </c>
      <c r="C112" s="18">
        <f>$L$3</f>
        <v>1.2</v>
      </c>
      <c r="D112" s="18">
        <f>$M$3</f>
        <v>1.8</v>
      </c>
      <c r="E112" s="18">
        <f>$N$3</f>
        <v>1</v>
      </c>
      <c r="F112" s="18">
        <f>$O$3</f>
        <v>0.6</v>
      </c>
      <c r="G112" s="18">
        <f>$P$3</f>
        <v>0.8</v>
      </c>
      <c r="H112" s="18"/>
    </row>
    <row r="113" spans="1:8">
      <c r="A113" t="s">
        <v>15</v>
      </c>
      <c r="B113" s="24"/>
      <c r="C113" s="24"/>
      <c r="D113" s="24"/>
      <c r="E113" s="24"/>
      <c r="F113" s="24"/>
      <c r="G113" s="24"/>
      <c r="H113" s="25"/>
    </row>
    <row r="114" spans="1:8">
      <c r="A114" t="s">
        <v>16</v>
      </c>
      <c r="B114">
        <f>VLOOKUP(Model!D32,Results!$K$8:$L$18,2,1)</f>
        <v>8</v>
      </c>
      <c r="C114">
        <f>VLOOKUP(Model!E32,Results!$K$8:$L$18,2,1)</f>
        <v>9</v>
      </c>
      <c r="D114">
        <f>VLOOKUP(Model!G32,Results!$K$8:$L$18,2,1)</f>
        <v>8</v>
      </c>
      <c r="E114">
        <f>VLOOKUP(Model!I32,Results!$K$8:$L$18,2,1)</f>
        <v>10</v>
      </c>
      <c r="G114">
        <v>7</v>
      </c>
      <c r="H114" s="9">
        <f>SUMPRODUCT(B114:G114,$B$3:$G$3)/SUM($B$3:$G$3)</f>
        <v>7.6363636363636367</v>
      </c>
    </row>
    <row r="115" spans="1:8">
      <c r="A115" t="s">
        <v>32</v>
      </c>
      <c r="B115">
        <f>VLOOKUP(Model!D98,Results!$K$8:$L$18,2,1)</f>
        <v>6</v>
      </c>
      <c r="C115">
        <f>VLOOKUP(Model!E98,Results!$K$8:$L$18,2,1)</f>
        <v>9</v>
      </c>
      <c r="D115">
        <f>VLOOKUP(Model!G98,Results!$K$8:$L$18,2,1)</f>
        <v>8</v>
      </c>
      <c r="E115">
        <f>VLOOKUP(Model!I98,Results!$K$8:$L$18,2,1)</f>
        <v>9</v>
      </c>
      <c r="G115">
        <v>7</v>
      </c>
      <c r="H115" s="9">
        <f>SUMPRODUCT(B115:G115,$B$3:$G$3)/SUM($B$3:$G$3)</f>
        <v>7.121212121212122</v>
      </c>
    </row>
    <row r="116" spans="1:8">
      <c r="A116" t="s">
        <v>18</v>
      </c>
      <c r="B116">
        <f>VLOOKUP(Model!D65,Results!$K$8:$L$18,2,1)</f>
        <v>7</v>
      </c>
      <c r="C116">
        <f>VLOOKUP(Model!E65,Results!$K$8:$L$18,2,1)</f>
        <v>10</v>
      </c>
      <c r="D116">
        <f>VLOOKUP(Model!G65,Results!$K$8:$L$18,2,1)</f>
        <v>9</v>
      </c>
      <c r="E116">
        <f>VLOOKUP(Model!I65,Results!$K$8:$L$18,2,1)</f>
        <v>10</v>
      </c>
      <c r="G116">
        <v>7</v>
      </c>
      <c r="H116" s="9">
        <f>SUMPRODUCT(B116:G116,$B$3:$G$3)/SUM($B$3:$G$3)</f>
        <v>7.9090909090909092</v>
      </c>
    </row>
    <row r="117" spans="1:8">
      <c r="A117" t="s">
        <v>34</v>
      </c>
      <c r="B117">
        <f>VLOOKUP(Model!D160,Results!$K$8:$L$18,2,1)</f>
        <v>10</v>
      </c>
      <c r="C117">
        <f>VLOOKUP(Model!E160,Results!$K$8:$L$18,2,1)</f>
        <v>9</v>
      </c>
      <c r="D117">
        <f>VLOOKUP(Model!G160,Results!$K$8:$L$18,2,1)</f>
        <v>7</v>
      </c>
      <c r="E117">
        <f>VLOOKUP(Model!I160,Results!$K$8:$L$18,2,1)</f>
        <v>9</v>
      </c>
      <c r="G117">
        <v>7</v>
      </c>
      <c r="H117" s="9">
        <f>SUMPRODUCT(B117:G117,$B$3:$G$3)/SUM($B$3:$G$3)</f>
        <v>7.5757575757575761</v>
      </c>
    </row>
    <row r="118" spans="1:8">
      <c r="H118" s="9"/>
    </row>
    <row r="119" spans="1:8">
      <c r="A119" s="52" t="s">
        <v>36</v>
      </c>
      <c r="B119" s="52"/>
      <c r="C119" s="52"/>
      <c r="D119" s="52"/>
      <c r="E119" s="52"/>
      <c r="F119" s="52"/>
      <c r="G119" s="52"/>
      <c r="H119" s="52"/>
    </row>
    <row r="120" spans="1:8">
      <c r="B120" s="1" t="s">
        <v>7</v>
      </c>
      <c r="C120" s="1" t="s">
        <v>8</v>
      </c>
      <c r="D120" s="1" t="s">
        <v>9</v>
      </c>
      <c r="E120" s="1" t="s">
        <v>10</v>
      </c>
      <c r="F120" s="1" t="s">
        <v>11</v>
      </c>
      <c r="G120" s="1" t="s">
        <v>12</v>
      </c>
      <c r="H120" s="1" t="s">
        <v>13</v>
      </c>
    </row>
    <row r="121" spans="1:8" ht="17.100000000000001" thickBot="1">
      <c r="A121" s="17" t="s">
        <v>22</v>
      </c>
      <c r="B121" s="18">
        <f>$K$3</f>
        <v>1.2</v>
      </c>
      <c r="C121" s="18">
        <f>$L$3</f>
        <v>1.2</v>
      </c>
      <c r="D121" s="18">
        <f>$M$3</f>
        <v>1.8</v>
      </c>
      <c r="E121" s="18">
        <f>$N$3</f>
        <v>1</v>
      </c>
      <c r="F121" s="18">
        <f>$O$3</f>
        <v>0.6</v>
      </c>
      <c r="G121" s="18">
        <f>$P$3</f>
        <v>0.8</v>
      </c>
      <c r="H121" s="18"/>
    </row>
    <row r="122" spans="1:8">
      <c r="A122" t="s">
        <v>15</v>
      </c>
      <c r="B122" s="24"/>
      <c r="C122" s="24"/>
      <c r="D122" s="24"/>
      <c r="E122" s="24"/>
      <c r="F122" s="24"/>
      <c r="G122" s="24"/>
      <c r="H122" s="25"/>
    </row>
    <row r="123" spans="1:8">
      <c r="A123" t="s">
        <v>16</v>
      </c>
      <c r="B123">
        <f>VLOOKUP(Model!D33,Results!$K$8:$L$18,2,1)</f>
        <v>9</v>
      </c>
      <c r="C123">
        <f>VLOOKUP(Model!E33,Results!$K$8:$L$18,2,1)</f>
        <v>8</v>
      </c>
      <c r="D123">
        <f>VLOOKUP(Model!G33,Results!$K$8:$L$18,2,1)</f>
        <v>7</v>
      </c>
      <c r="E123">
        <f>VLOOKUP(Model!I33,Results!$K$8:$L$18,2,1)</f>
        <v>9</v>
      </c>
      <c r="G123">
        <v>7</v>
      </c>
      <c r="H123" s="9">
        <f>SUMPRODUCT(B123:G123,$B$3:$G$3)/SUM($B$3:$G$3)</f>
        <v>7.2121212121212128</v>
      </c>
    </row>
    <row r="124" spans="1:8">
      <c r="A124" t="s">
        <v>32</v>
      </c>
      <c r="B124">
        <f>VLOOKUP(Model!D99,Results!$K$8:$L$18,2,1)</f>
        <v>6</v>
      </c>
      <c r="C124">
        <f>VLOOKUP(Model!E99,Results!$K$8:$L$18,2,1)</f>
        <v>7</v>
      </c>
      <c r="D124">
        <f>VLOOKUP(Model!G99,Results!$K$8:$L$18,2,1)</f>
        <v>10</v>
      </c>
      <c r="E124">
        <f>VLOOKUP(Model!I99,Results!$K$8:$L$18,2,1)</f>
        <v>6</v>
      </c>
      <c r="G124">
        <v>7</v>
      </c>
      <c r="H124" s="9">
        <f>SUMPRODUCT(B124:G124,$B$3:$G$3)/SUM($B$3:$G$3)</f>
        <v>6.8484848484848495</v>
      </c>
    </row>
    <row r="125" spans="1:8">
      <c r="A125" t="s">
        <v>18</v>
      </c>
      <c r="B125">
        <f>VLOOKUP(Model!D66,Results!$K$8:$L$18,2,1)</f>
        <v>10</v>
      </c>
      <c r="C125">
        <f>VLOOKUP(Model!E66,Results!$K$8:$L$18,2,1)</f>
        <v>10</v>
      </c>
      <c r="D125">
        <f>VLOOKUP(Model!G66,Results!$K$8:$L$18,2,1)</f>
        <v>10</v>
      </c>
      <c r="E125">
        <f>VLOOKUP(Model!I66,Results!$K$8:$L$18,2,1)</f>
        <v>9</v>
      </c>
      <c r="G125">
        <v>7</v>
      </c>
      <c r="H125" s="9">
        <f>SUMPRODUCT(B125:G125,$B$3:$G$3)/SUM($B$3:$G$3)</f>
        <v>8.5757575757575761</v>
      </c>
    </row>
    <row r="126" spans="1:8">
      <c r="A126" t="s">
        <v>34</v>
      </c>
      <c r="B126">
        <f>VLOOKUP(Model!D161,Results!$K$8:$L$18,2,1)</f>
        <v>4</v>
      </c>
      <c r="C126">
        <f>VLOOKUP(Model!E161,Results!$K$8:$L$18,2,1)</f>
        <v>5</v>
      </c>
      <c r="D126">
        <f>VLOOKUP(Model!G161,Results!$K$8:$L$18,2,1)</f>
        <v>4</v>
      </c>
      <c r="E126">
        <f>VLOOKUP(Model!I161,Results!$K$8:$L$18,2,1)</f>
        <v>10</v>
      </c>
      <c r="G126">
        <v>7</v>
      </c>
      <c r="H126" s="9">
        <f>SUMPRODUCT(B126:G126,$B$3:$G$3)/SUM($B$3:$G$3)</f>
        <v>5.0909090909090917</v>
      </c>
    </row>
    <row r="127" spans="1:8">
      <c r="H127" s="9"/>
    </row>
    <row r="128" spans="1:8">
      <c r="A128" s="52" t="s">
        <v>37</v>
      </c>
      <c r="B128" s="52"/>
      <c r="C128" s="52"/>
      <c r="D128" s="52"/>
      <c r="E128" s="52"/>
      <c r="F128" s="52"/>
      <c r="G128" s="52"/>
      <c r="H128" s="52"/>
    </row>
    <row r="129" spans="1:8">
      <c r="B129" s="1" t="s">
        <v>7</v>
      </c>
      <c r="C129" s="1" t="s">
        <v>8</v>
      </c>
      <c r="D129" s="1" t="s">
        <v>9</v>
      </c>
      <c r="E129" s="1" t="s">
        <v>10</v>
      </c>
      <c r="F129" s="1" t="s">
        <v>11</v>
      </c>
      <c r="G129" s="1" t="s">
        <v>12</v>
      </c>
      <c r="H129" s="1" t="s">
        <v>13</v>
      </c>
    </row>
    <row r="130" spans="1:8" ht="17.100000000000001" thickBot="1">
      <c r="A130" s="17" t="s">
        <v>22</v>
      </c>
      <c r="B130" s="18">
        <f>$K$3</f>
        <v>1.2</v>
      </c>
      <c r="C130" s="18">
        <f>$L$3</f>
        <v>1.2</v>
      </c>
      <c r="D130" s="18">
        <f>$M$3</f>
        <v>1.8</v>
      </c>
      <c r="E130" s="18">
        <f>$N$3</f>
        <v>1</v>
      </c>
      <c r="F130" s="18">
        <f>$O$3</f>
        <v>0.6</v>
      </c>
      <c r="G130" s="18">
        <f>$P$3</f>
        <v>0.8</v>
      </c>
      <c r="H130" s="18"/>
    </row>
    <row r="131" spans="1:8">
      <c r="A131" t="s">
        <v>15</v>
      </c>
      <c r="B131" s="24"/>
      <c r="C131" s="24"/>
      <c r="D131" s="24"/>
      <c r="E131" s="24"/>
      <c r="F131" s="24"/>
      <c r="G131" s="24"/>
      <c r="H131" s="25"/>
    </row>
    <row r="132" spans="1:8">
      <c r="A132" t="s">
        <v>16</v>
      </c>
      <c r="B132">
        <f>VLOOKUP(Model!D34,Results!$K$8:$L$18,2,1)</f>
        <v>6</v>
      </c>
      <c r="C132">
        <f>VLOOKUP(Model!E34,Results!$K$8:$L$18,2,1)</f>
        <v>9</v>
      </c>
      <c r="D132">
        <f>VLOOKUP(Model!G34,Results!$K$8:$L$18,2,1)</f>
        <v>8</v>
      </c>
      <c r="E132">
        <f>VLOOKUP(Model!I34,Results!$K$8:$L$18,2,1)</f>
        <v>9</v>
      </c>
      <c r="G132">
        <v>7</v>
      </c>
      <c r="H132" s="9">
        <f>SUMPRODUCT(B132:G132,$B$3:$G$3)/SUM($B$3:$G$3)</f>
        <v>7.121212121212122</v>
      </c>
    </row>
    <row r="133" spans="1:8">
      <c r="A133" t="s">
        <v>32</v>
      </c>
      <c r="B133">
        <f>VLOOKUP(Model!D100,Results!$K$8:$L$18,2,1)</f>
        <v>2</v>
      </c>
      <c r="C133">
        <f>VLOOKUP(Model!E100,Results!$K$8:$L$18,2,1)</f>
        <v>3</v>
      </c>
      <c r="D133">
        <f>VLOOKUP(Model!G100,Results!$K$8:$L$18,2,1)</f>
        <v>2</v>
      </c>
      <c r="E133">
        <f>VLOOKUP(Model!I100,Results!$K$8:$L$18,2,1)</f>
        <v>10</v>
      </c>
      <c r="G133">
        <v>7</v>
      </c>
      <c r="H133" s="9">
        <f>SUMPRODUCT(B133:G133,$B$3:$G$3)/SUM($B$3:$G$3)</f>
        <v>3.8181818181818188</v>
      </c>
    </row>
    <row r="134" spans="1:8">
      <c r="A134" t="s">
        <v>18</v>
      </c>
      <c r="B134">
        <f>VLOOKUP(Model!D67,Results!$K$8:$L$18,2,1)</f>
        <v>6</v>
      </c>
      <c r="C134">
        <f>VLOOKUP(Model!E67,Results!$K$8:$L$18,2,1)</f>
        <v>6</v>
      </c>
      <c r="D134">
        <f>VLOOKUP(Model!G67,Results!$K$8:$L$18,2,1)</f>
        <v>5</v>
      </c>
      <c r="E134">
        <f>VLOOKUP(Model!I67,Results!$K$8:$L$18,2,1)</f>
        <v>10</v>
      </c>
      <c r="G134">
        <v>7</v>
      </c>
      <c r="H134" s="9">
        <f>SUMPRODUCT(B134:G134,$B$3:$G$3)/SUM($B$3:$G$3)</f>
        <v>5.9090909090909092</v>
      </c>
    </row>
    <row r="135" spans="1:8">
      <c r="A135" t="s">
        <v>34</v>
      </c>
      <c r="B135">
        <f>VLOOKUP(Model!D162,Results!$K$8:$L$18,2,1)</f>
        <v>7</v>
      </c>
      <c r="C135">
        <f>VLOOKUP(Model!E162,Results!$K$8:$L$18,2,1)</f>
        <v>10</v>
      </c>
      <c r="D135">
        <f>VLOOKUP(Model!G162,Results!$K$8:$L$18,2,1)</f>
        <v>9</v>
      </c>
      <c r="E135">
        <f>VLOOKUP(Model!I162,Results!$K$8:$L$18,2,1)</f>
        <v>10</v>
      </c>
      <c r="G135">
        <v>7</v>
      </c>
      <c r="H135" s="9">
        <f>SUMPRODUCT(B135:G135,$B$3:$G$3)/SUM($B$3:$G$3)</f>
        <v>7.9090909090909092</v>
      </c>
    </row>
    <row r="136" spans="1:8">
      <c r="H136" s="9"/>
    </row>
    <row r="137" spans="1:8">
      <c r="A137" s="52" t="s">
        <v>38</v>
      </c>
      <c r="B137" s="52"/>
      <c r="C137" s="52"/>
      <c r="D137" s="52"/>
      <c r="E137" s="52"/>
      <c r="F137" s="52"/>
      <c r="G137" s="52"/>
      <c r="H137" s="52"/>
    </row>
    <row r="138" spans="1:8">
      <c r="B138" s="1" t="s">
        <v>7</v>
      </c>
      <c r="C138" s="1" t="s">
        <v>8</v>
      </c>
      <c r="D138" s="1" t="s">
        <v>9</v>
      </c>
      <c r="E138" s="1" t="s">
        <v>10</v>
      </c>
      <c r="F138" s="1" t="s">
        <v>11</v>
      </c>
      <c r="G138" s="1" t="s">
        <v>12</v>
      </c>
      <c r="H138" s="1" t="s">
        <v>13</v>
      </c>
    </row>
    <row r="139" spans="1:8" ht="17.100000000000001" thickBot="1">
      <c r="A139" s="17" t="s">
        <v>22</v>
      </c>
      <c r="B139" s="18">
        <f>$K$3</f>
        <v>1.2</v>
      </c>
      <c r="C139" s="18">
        <f>$L$3</f>
        <v>1.2</v>
      </c>
      <c r="D139" s="18">
        <f>$M$3</f>
        <v>1.8</v>
      </c>
      <c r="E139" s="18">
        <f>$N$3</f>
        <v>1</v>
      </c>
      <c r="F139" s="18">
        <f>$O$3</f>
        <v>0.6</v>
      </c>
      <c r="G139" s="18">
        <f>$P$3</f>
        <v>0.8</v>
      </c>
      <c r="H139" s="18"/>
    </row>
    <row r="140" spans="1:8">
      <c r="A140" t="s">
        <v>15</v>
      </c>
      <c r="B140" s="24"/>
      <c r="C140" s="24"/>
      <c r="D140" s="24"/>
      <c r="E140" s="24"/>
      <c r="F140" s="24"/>
      <c r="G140" s="24"/>
      <c r="H140" s="25"/>
    </row>
    <row r="141" spans="1:8">
      <c r="A141" t="s">
        <v>16</v>
      </c>
      <c r="B141">
        <f>VLOOKUP(Model!D35,Results!$K$8:$L$18,2,1)</f>
        <v>6</v>
      </c>
      <c r="C141">
        <f>VLOOKUP(Model!E35,Results!$K$8:$L$18,2,1)</f>
        <v>9</v>
      </c>
      <c r="D141">
        <f>VLOOKUP(Model!G35,Results!$K$8:$L$18,2,1)</f>
        <v>10</v>
      </c>
      <c r="E141">
        <f>VLOOKUP(Model!I35,Results!$K$8:$L$18,2,1)</f>
        <v>10</v>
      </c>
      <c r="G141">
        <v>7</v>
      </c>
      <c r="H141" s="9">
        <f>SUMPRODUCT(B141:G141,$B$3:$G$3)/SUM($B$3:$G$3)</f>
        <v>7.8181818181818192</v>
      </c>
    </row>
    <row r="142" spans="1:8">
      <c r="A142" t="s">
        <v>32</v>
      </c>
      <c r="B142">
        <f>VLOOKUP(Model!D101,Results!$K$8:$L$18,2,1)</f>
        <v>8</v>
      </c>
      <c r="C142">
        <f>VLOOKUP(Model!E101,Results!$K$8:$L$18,2,1)</f>
        <v>10</v>
      </c>
      <c r="D142">
        <f>VLOOKUP(Model!G101,Results!$K$8:$L$18,2,1)</f>
        <v>10</v>
      </c>
      <c r="E142">
        <f>VLOOKUP(Model!I101,Results!$K$8:$L$18,2,1)</f>
        <v>10</v>
      </c>
      <c r="G142">
        <v>7</v>
      </c>
      <c r="H142" s="9">
        <f>SUMPRODUCT(B142:G142,$B$3:$G$3)/SUM($B$3:$G$3)</f>
        <v>8.3636363636363651</v>
      </c>
    </row>
    <row r="143" spans="1:8">
      <c r="A143" t="s">
        <v>18</v>
      </c>
      <c r="B143">
        <f>VLOOKUP(Model!D68,Results!$K$8:$L$18,2,1)</f>
        <v>6</v>
      </c>
      <c r="C143">
        <f>VLOOKUP(Model!E68,Results!$K$8:$L$18,2,1)</f>
        <v>7</v>
      </c>
      <c r="D143">
        <f>VLOOKUP(Model!G68,Results!$K$8:$L$18,2,1)</f>
        <v>8</v>
      </c>
      <c r="E143">
        <f>VLOOKUP(Model!I68,Results!$K$8:$L$18,2,1)</f>
        <v>10</v>
      </c>
      <c r="G143">
        <v>7</v>
      </c>
      <c r="H143" s="9">
        <f>SUMPRODUCT(B143:G143,$B$3:$G$3)/SUM($B$3:$G$3)</f>
        <v>6.9090909090909101</v>
      </c>
    </row>
    <row r="144" spans="1:8">
      <c r="A144" t="s">
        <v>34</v>
      </c>
      <c r="B144">
        <f>VLOOKUP(Model!D163,Results!$K$8:$L$18,2,1)</f>
        <v>8</v>
      </c>
      <c r="C144">
        <f>VLOOKUP(Model!E163,Results!$K$8:$L$18,2,1)</f>
        <v>9</v>
      </c>
      <c r="D144">
        <f>VLOOKUP(Model!G163,Results!$K$8:$L$18,2,1)</f>
        <v>9</v>
      </c>
      <c r="E144">
        <f>VLOOKUP(Model!I163,Results!$K$8:$L$18,2,1)</f>
        <v>10</v>
      </c>
      <c r="G144">
        <v>7</v>
      </c>
      <c r="H144" s="9">
        <f>SUMPRODUCT(B144:G144,$B$3:$G$3)/SUM($B$3:$G$3)</f>
        <v>7.9090909090909092</v>
      </c>
    </row>
    <row r="145" spans="1:8">
      <c r="H145" s="9"/>
    </row>
    <row r="146" spans="1:8">
      <c r="A146" s="52" t="s">
        <v>39</v>
      </c>
      <c r="B146" s="52"/>
      <c r="C146" s="52"/>
      <c r="D146" s="52"/>
      <c r="E146" s="52"/>
      <c r="F146" s="52"/>
      <c r="G146" s="52"/>
      <c r="H146" s="52"/>
    </row>
    <row r="147" spans="1:8">
      <c r="B147" s="1" t="s">
        <v>7</v>
      </c>
      <c r="C147" s="1" t="s">
        <v>8</v>
      </c>
      <c r="D147" s="1" t="s">
        <v>9</v>
      </c>
      <c r="E147" s="1" t="s">
        <v>10</v>
      </c>
      <c r="F147" s="1" t="s">
        <v>11</v>
      </c>
      <c r="G147" s="1" t="s">
        <v>12</v>
      </c>
      <c r="H147" s="1" t="s">
        <v>13</v>
      </c>
    </row>
    <row r="148" spans="1:8" ht="17.100000000000001" thickBot="1">
      <c r="A148" s="17" t="s">
        <v>22</v>
      </c>
      <c r="B148" s="18">
        <f>$K$3</f>
        <v>1.2</v>
      </c>
      <c r="C148" s="18">
        <f>$L$3</f>
        <v>1.2</v>
      </c>
      <c r="D148" s="18">
        <f>$M$3</f>
        <v>1.8</v>
      </c>
      <c r="E148" s="18">
        <f>$N$3</f>
        <v>1</v>
      </c>
      <c r="F148" s="18">
        <f>$O$3</f>
        <v>0.6</v>
      </c>
      <c r="G148" s="18">
        <f>$P$3</f>
        <v>0.8</v>
      </c>
      <c r="H148" s="18"/>
    </row>
    <row r="149" spans="1:8">
      <c r="A149" t="s">
        <v>15</v>
      </c>
      <c r="B149" s="24"/>
      <c r="C149" s="24"/>
      <c r="D149" s="24"/>
      <c r="E149" s="24"/>
      <c r="F149" s="24"/>
      <c r="G149" s="24"/>
      <c r="H149" s="25"/>
    </row>
    <row r="150" spans="1:8">
      <c r="A150" t="s">
        <v>16</v>
      </c>
      <c r="B150">
        <f>VLOOKUP(Model!D36,Results!$K$8:$L$18,2,1)</f>
        <v>10</v>
      </c>
      <c r="C150">
        <f>VLOOKUP(Model!E36,Results!$K$8:$L$18,2,1)</f>
        <v>10</v>
      </c>
      <c r="D150">
        <f>VLOOKUP(Model!G36,Results!$K$8:$L$18,2,1)</f>
        <v>10</v>
      </c>
      <c r="E150">
        <f>VLOOKUP(Model!I36,Results!$K$8:$L$18,2,1)</f>
        <v>10</v>
      </c>
      <c r="G150">
        <v>7</v>
      </c>
      <c r="H150" s="9">
        <f>SUMPRODUCT(B150:G150,$B$3:$G$3)/SUM($B$3:$G$3)</f>
        <v>8.7272727272727284</v>
      </c>
    </row>
    <row r="151" spans="1:8">
      <c r="A151" t="s">
        <v>32</v>
      </c>
      <c r="B151">
        <f>VLOOKUP(Model!D102,Results!$K$8:$L$18,2,1)</f>
        <v>10</v>
      </c>
      <c r="C151">
        <f>VLOOKUP(Model!E102,Results!$K$8:$L$18,2,1)</f>
        <v>5</v>
      </c>
      <c r="D151">
        <f>VLOOKUP(Model!G102,Results!$K$8:$L$18,2,1)</f>
        <v>5</v>
      </c>
      <c r="E151">
        <f>VLOOKUP(Model!I102,Results!$K$8:$L$18,2,1)</f>
        <v>10</v>
      </c>
      <c r="G151">
        <v>7</v>
      </c>
      <c r="H151" s="9">
        <f>SUMPRODUCT(B151:G151,$B$3:$G$3)/SUM($B$3:$G$3)</f>
        <v>6.454545454545455</v>
      </c>
    </row>
    <row r="152" spans="1:8">
      <c r="A152" t="s">
        <v>18</v>
      </c>
      <c r="B152">
        <f>VLOOKUP(Model!D69,Results!$K$8:$L$18,2,1)</f>
        <v>10</v>
      </c>
      <c r="C152">
        <f>VLOOKUP(Model!E69,Results!$K$8:$L$18,2,1)</f>
        <v>7</v>
      </c>
      <c r="D152">
        <f>VLOOKUP(Model!G69,Results!$K$8:$L$18,2,1)</f>
        <v>6</v>
      </c>
      <c r="E152">
        <f>VLOOKUP(Model!I69,Results!$K$8:$L$18,2,1)</f>
        <v>10</v>
      </c>
      <c r="G152">
        <v>7</v>
      </c>
      <c r="H152" s="9">
        <f>SUMPRODUCT(B152:G152,$B$3:$G$3)/SUM($B$3:$G$3)</f>
        <v>7.0909090909090917</v>
      </c>
    </row>
    <row r="153" spans="1:8">
      <c r="A153" t="s">
        <v>34</v>
      </c>
      <c r="B153">
        <f>VLOOKUP(Model!D164,Results!$K$8:$L$18,2,1)</f>
        <v>10</v>
      </c>
      <c r="C153">
        <f>VLOOKUP(Model!E164,Results!$K$8:$L$18,2,1)</f>
        <v>10</v>
      </c>
      <c r="D153">
        <f>VLOOKUP(Model!G164,Results!$K$8:$L$18,2,1)</f>
        <v>8</v>
      </c>
      <c r="E153">
        <f>VLOOKUP(Model!I164,Results!$K$8:$L$18,2,1)</f>
        <v>10</v>
      </c>
      <c r="G153">
        <v>7</v>
      </c>
      <c r="H153" s="9">
        <f>SUMPRODUCT(B153:G153,$B$3:$G$3)/SUM($B$3:$G$3)</f>
        <v>8.1818181818181817</v>
      </c>
    </row>
    <row r="154" spans="1:8">
      <c r="H154" s="9"/>
    </row>
    <row r="155" spans="1:8">
      <c r="A155" s="52" t="s">
        <v>40</v>
      </c>
      <c r="B155" s="52"/>
      <c r="C155" s="52"/>
      <c r="D155" s="52"/>
      <c r="E155" s="52"/>
      <c r="F155" s="52"/>
      <c r="G155" s="52"/>
      <c r="H155" s="52"/>
    </row>
    <row r="156" spans="1:8">
      <c r="B156" s="1" t="s">
        <v>7</v>
      </c>
      <c r="C156" s="1" t="s">
        <v>8</v>
      </c>
      <c r="D156" s="1" t="s">
        <v>9</v>
      </c>
      <c r="E156" s="1" t="s">
        <v>10</v>
      </c>
      <c r="F156" s="1" t="s">
        <v>11</v>
      </c>
      <c r="G156" s="1" t="s">
        <v>12</v>
      </c>
      <c r="H156" s="1" t="s">
        <v>13</v>
      </c>
    </row>
    <row r="157" spans="1:8" ht="17.100000000000001" thickBot="1">
      <c r="A157" s="17" t="s">
        <v>22</v>
      </c>
      <c r="B157" s="18">
        <f>$K$3</f>
        <v>1.2</v>
      </c>
      <c r="C157" s="18">
        <f>$L$3</f>
        <v>1.2</v>
      </c>
      <c r="D157" s="18">
        <f>$M$3</f>
        <v>1.8</v>
      </c>
      <c r="E157" s="18">
        <f>$N$3</f>
        <v>1</v>
      </c>
      <c r="F157" s="18">
        <f>$O$3</f>
        <v>0.6</v>
      </c>
      <c r="G157" s="18">
        <f>$P$3</f>
        <v>0.8</v>
      </c>
      <c r="H157" s="18"/>
    </row>
    <row r="158" spans="1:8">
      <c r="A158" t="s">
        <v>15</v>
      </c>
      <c r="B158" s="24"/>
      <c r="C158" s="24"/>
      <c r="D158" s="24"/>
      <c r="E158" s="24"/>
      <c r="F158" s="24"/>
      <c r="G158" s="24"/>
      <c r="H158" s="25"/>
    </row>
    <row r="159" spans="1:8">
      <c r="A159" t="s">
        <v>16</v>
      </c>
      <c r="B159">
        <f>VLOOKUP(Model!D37,Results!$K$8:$L$18,2,1)</f>
        <v>10</v>
      </c>
      <c r="C159">
        <f>VLOOKUP(Model!E37,Results!$K$8:$L$18,2,1)</f>
        <v>10</v>
      </c>
      <c r="D159">
        <f>VLOOKUP(Model!G37,Results!$K$8:$L$18,2,1)</f>
        <v>9</v>
      </c>
      <c r="E159">
        <f>VLOOKUP(Model!I37,Results!$K$8:$L$18,2,1)</f>
        <v>10</v>
      </c>
      <c r="G159">
        <v>7</v>
      </c>
      <c r="H159" s="9">
        <f>SUMPRODUCT(B159:G159,$B$3:$G$3)/SUM($B$3:$G$3)</f>
        <v>8.454545454545455</v>
      </c>
    </row>
    <row r="160" spans="1:8">
      <c r="A160" t="s">
        <v>32</v>
      </c>
      <c r="B160">
        <f>VLOOKUP(Model!D103,Results!$K$8:$L$18,2,1)</f>
        <v>6</v>
      </c>
      <c r="C160">
        <f>VLOOKUP(Model!E103,Results!$K$8:$L$18,2,1)</f>
        <v>4</v>
      </c>
      <c r="D160">
        <f>VLOOKUP(Model!G103,Results!$K$8:$L$18,2,1)</f>
        <v>10</v>
      </c>
      <c r="E160">
        <f>VLOOKUP(Model!I103,Results!$K$8:$L$18,2,1)</f>
        <v>10</v>
      </c>
      <c r="G160">
        <v>7</v>
      </c>
      <c r="H160" s="9">
        <f>SUMPRODUCT(B160:G160,$B$3:$G$3)/SUM($B$3:$G$3)</f>
        <v>6.9090909090909101</v>
      </c>
    </row>
    <row r="161" spans="1:8">
      <c r="A161" t="s">
        <v>18</v>
      </c>
      <c r="B161">
        <f>VLOOKUP(Model!D70,Results!$K$8:$L$18,2,1)</f>
        <v>10</v>
      </c>
      <c r="C161">
        <f>VLOOKUP(Model!E70,Results!$K$8:$L$18,2,1)</f>
        <v>10</v>
      </c>
      <c r="D161">
        <f>VLOOKUP(Model!G70,Results!$K$8:$L$18,2,1)</f>
        <v>9</v>
      </c>
      <c r="E161">
        <f>VLOOKUP(Model!I70,Results!$K$8:$L$18,2,1)</f>
        <v>10</v>
      </c>
      <c r="G161">
        <v>7</v>
      </c>
      <c r="H161" s="9">
        <f>SUMPRODUCT(B161:G161,$B$3:$G$3)/SUM($B$3:$G$3)</f>
        <v>8.454545454545455</v>
      </c>
    </row>
    <row r="162" spans="1:8">
      <c r="A162" t="s">
        <v>34</v>
      </c>
      <c r="B162">
        <f>VLOOKUP(Model!D165,Results!$K$8:$L$18,2,1)</f>
        <v>8</v>
      </c>
      <c r="C162">
        <f>VLOOKUP(Model!E165,Results!$K$8:$L$18,2,1)</f>
        <v>8</v>
      </c>
      <c r="D162">
        <f>VLOOKUP(Model!G165,Results!$K$8:$L$18,2,1)</f>
        <v>6</v>
      </c>
      <c r="E162">
        <f>VLOOKUP(Model!I165,Results!$K$8:$L$18,2,1)</f>
        <v>10</v>
      </c>
      <c r="G162">
        <v>7</v>
      </c>
      <c r="H162" s="9">
        <f>SUMPRODUCT(B162:G162,$B$3:$G$3)/SUM($B$3:$G$3)</f>
        <v>6.9090909090909101</v>
      </c>
    </row>
    <row r="163" spans="1:8">
      <c r="H163" s="9"/>
    </row>
    <row r="164" spans="1:8">
      <c r="H164" s="9"/>
    </row>
    <row r="165" spans="1:8">
      <c r="A165" s="52" t="s">
        <v>41</v>
      </c>
      <c r="B165" s="52"/>
      <c r="C165" s="52"/>
      <c r="D165" s="52"/>
      <c r="E165" s="52"/>
      <c r="F165" s="52"/>
      <c r="G165" s="52"/>
      <c r="H165" s="52"/>
    </row>
    <row r="166" spans="1:8">
      <c r="B166" s="1" t="s">
        <v>7</v>
      </c>
      <c r="C166" s="1" t="s">
        <v>8</v>
      </c>
      <c r="D166" s="1" t="s">
        <v>9</v>
      </c>
      <c r="E166" s="1" t="s">
        <v>10</v>
      </c>
      <c r="F166" s="1" t="s">
        <v>11</v>
      </c>
      <c r="G166" s="1" t="s">
        <v>12</v>
      </c>
      <c r="H166" s="1" t="s">
        <v>13</v>
      </c>
    </row>
    <row r="167" spans="1:8" ht="17.100000000000001" thickBot="1">
      <c r="A167" s="17" t="s">
        <v>22</v>
      </c>
      <c r="B167" s="18">
        <f>$K$3</f>
        <v>1.2</v>
      </c>
      <c r="C167" s="18">
        <f>$L$3</f>
        <v>1.2</v>
      </c>
      <c r="D167" s="18">
        <f>$M$3</f>
        <v>1.8</v>
      </c>
      <c r="E167" s="18">
        <f>$N$3</f>
        <v>1</v>
      </c>
      <c r="F167" s="18">
        <f>$O$3</f>
        <v>0.6</v>
      </c>
      <c r="G167" s="18">
        <f>$P$3</f>
        <v>0.8</v>
      </c>
      <c r="H167" s="18"/>
    </row>
    <row r="168" spans="1:8">
      <c r="A168" t="s">
        <v>15</v>
      </c>
      <c r="B168" s="24"/>
      <c r="C168" s="24"/>
      <c r="D168" s="24"/>
      <c r="E168" s="24"/>
      <c r="F168" s="24"/>
      <c r="G168" s="24"/>
      <c r="H168" s="25"/>
    </row>
    <row r="169" spans="1:8">
      <c r="A169" t="s">
        <v>16</v>
      </c>
      <c r="B169">
        <f>VLOOKUP(Model!D38,Results!$K$8:$L$18,2,1)</f>
        <v>10</v>
      </c>
      <c r="C169">
        <f>VLOOKUP(Model!E38,Results!$K$8:$L$18,2,1)</f>
        <v>10</v>
      </c>
      <c r="D169">
        <f>VLOOKUP(Model!G38,Results!$K$8:$L$18,2,1)</f>
        <v>10</v>
      </c>
      <c r="E169">
        <f>VLOOKUP(Model!I38,Results!$K$8:$L$18,2,1)</f>
        <v>9</v>
      </c>
      <c r="G169">
        <v>7</v>
      </c>
      <c r="H169" s="9">
        <f>SUMPRODUCT(B169:G169,$B$3:$G$3)/SUM($B$3:$G$3)</f>
        <v>8.5757575757575761</v>
      </c>
    </row>
    <row r="170" spans="1:8">
      <c r="A170" t="s">
        <v>32</v>
      </c>
      <c r="B170">
        <f>VLOOKUP(Model!D104,Results!$K$8:$L$18,2,1)</f>
        <v>3</v>
      </c>
      <c r="C170">
        <f>VLOOKUP(Model!E104,Results!$K$8:$L$18,2,1)</f>
        <v>2</v>
      </c>
      <c r="D170">
        <f>VLOOKUP(Model!G104,Results!$K$8:$L$18,2,1)</f>
        <v>2</v>
      </c>
      <c r="E170">
        <f>VLOOKUP(Model!I104,Results!$K$8:$L$18,2,1)</f>
        <v>10</v>
      </c>
      <c r="G170">
        <v>7</v>
      </c>
      <c r="H170" s="9">
        <f>SUMPRODUCT(B170:G170,$B$3:$G$3)/SUM($B$3:$G$3)</f>
        <v>3.8181818181818188</v>
      </c>
    </row>
    <row r="171" spans="1:8">
      <c r="A171" t="s">
        <v>18</v>
      </c>
      <c r="B171">
        <f>VLOOKUP(Model!D71,Results!$K$8:$L$18,2,1)</f>
        <v>10</v>
      </c>
      <c r="C171">
        <f>VLOOKUP(Model!E71,Results!$K$8:$L$18,2,1)</f>
        <v>7</v>
      </c>
      <c r="D171">
        <f>VLOOKUP(Model!G71,Results!$K$8:$L$18,2,1)</f>
        <v>8</v>
      </c>
      <c r="E171">
        <f>VLOOKUP(Model!I71,Results!$K$8:$L$18,2,1)</f>
        <v>10</v>
      </c>
      <c r="G171">
        <v>7</v>
      </c>
      <c r="H171" s="9">
        <f>SUMPRODUCT(B171:G171,$B$3:$G$3)/SUM($B$3:$G$3)</f>
        <v>7.6363636363636367</v>
      </c>
    </row>
    <row r="172" spans="1:8">
      <c r="A172" t="s">
        <v>34</v>
      </c>
      <c r="B172">
        <f>VLOOKUP(Model!D166,Results!$K$8:$L$18,2,1)</f>
        <v>10</v>
      </c>
      <c r="C172">
        <f>VLOOKUP(Model!E166,Results!$K$8:$L$18,2,1)</f>
        <v>10</v>
      </c>
      <c r="D172">
        <f>VLOOKUP(Model!G166,Results!$K$8:$L$18,2,1)</f>
        <v>10</v>
      </c>
      <c r="E172">
        <f>VLOOKUP(Model!I166,Results!$K$8:$L$18,2,1)</f>
        <v>9</v>
      </c>
      <c r="G172">
        <v>7</v>
      </c>
      <c r="H172" s="9">
        <f>SUMPRODUCT(B172:G172,$B$3:$G$3)/SUM($B$3:$G$3)</f>
        <v>8.5757575757575761</v>
      </c>
    </row>
    <row r="173" spans="1:8">
      <c r="H173" s="9"/>
    </row>
    <row r="174" spans="1:8">
      <c r="H174" s="9"/>
    </row>
    <row r="175" spans="1:8">
      <c r="A175" s="52" t="s">
        <v>42</v>
      </c>
      <c r="B175" s="52"/>
      <c r="C175" s="52"/>
      <c r="D175" s="52"/>
      <c r="E175" s="52"/>
      <c r="F175" s="52"/>
      <c r="G175" s="52"/>
      <c r="H175" s="52"/>
    </row>
    <row r="176" spans="1:8">
      <c r="B176" s="1" t="s">
        <v>7</v>
      </c>
      <c r="C176" s="1" t="s">
        <v>8</v>
      </c>
      <c r="D176" s="1" t="s">
        <v>9</v>
      </c>
      <c r="E176" s="1" t="s">
        <v>10</v>
      </c>
      <c r="F176" s="1" t="s">
        <v>11</v>
      </c>
      <c r="G176" s="1" t="s">
        <v>12</v>
      </c>
      <c r="H176" s="1" t="s">
        <v>13</v>
      </c>
    </row>
    <row r="177" spans="1:8" ht="17.100000000000001" thickBot="1">
      <c r="A177" s="17" t="s">
        <v>22</v>
      </c>
      <c r="B177" s="18">
        <f>$K$3</f>
        <v>1.2</v>
      </c>
      <c r="C177" s="18">
        <f>$L$3</f>
        <v>1.2</v>
      </c>
      <c r="D177" s="18">
        <f>$M$3</f>
        <v>1.8</v>
      </c>
      <c r="E177" s="18">
        <f>$N$3</f>
        <v>1</v>
      </c>
      <c r="F177" s="18">
        <f>$O$3</f>
        <v>0.6</v>
      </c>
      <c r="G177" s="18">
        <f>$P$3</f>
        <v>0.8</v>
      </c>
      <c r="H177" s="18"/>
    </row>
    <row r="178" spans="1:8">
      <c r="A178" t="s">
        <v>15</v>
      </c>
      <c r="B178" s="24"/>
      <c r="C178" s="24"/>
      <c r="D178" s="24"/>
      <c r="E178" s="24"/>
      <c r="F178" s="24"/>
      <c r="G178" s="24"/>
      <c r="H178" s="25"/>
    </row>
    <row r="179" spans="1:8">
      <c r="A179" t="s">
        <v>16</v>
      </c>
      <c r="B179">
        <f>VLOOKUP(Model!D39,Results!$K$8:$L$18,2,1)</f>
        <v>10</v>
      </c>
      <c r="C179">
        <f>VLOOKUP(Model!E39,Results!$K$8:$L$18,2,1)</f>
        <v>5</v>
      </c>
      <c r="D179">
        <f>VLOOKUP(Model!G39,Results!$K$8:$L$18,2,1)</f>
        <v>8</v>
      </c>
      <c r="E179">
        <f>VLOOKUP(Model!I39,Results!$K$8:$L$18,2,1)</f>
        <v>10</v>
      </c>
      <c r="G179">
        <v>7</v>
      </c>
      <c r="H179" s="9">
        <f>SUMPRODUCT(B179:G179,$B$3:$G$3)/SUM($B$3:$G$3)</f>
        <v>7.2727272727272734</v>
      </c>
    </row>
    <row r="180" spans="1:8">
      <c r="A180" t="s">
        <v>32</v>
      </c>
      <c r="B180">
        <f>VLOOKUP(Model!D105,Results!$K$8:$L$18,2,1)</f>
        <v>10</v>
      </c>
      <c r="C180">
        <f>VLOOKUP(Model!E105,Results!$K$8:$L$18,2,1)</f>
        <v>10</v>
      </c>
      <c r="D180">
        <f>VLOOKUP(Model!G105,Results!$K$8:$L$18,2,1)</f>
        <v>10</v>
      </c>
      <c r="E180">
        <f>VLOOKUP(Model!I105,Results!$K$8:$L$18,2,1)</f>
        <v>10</v>
      </c>
      <c r="G180">
        <v>7</v>
      </c>
      <c r="H180" s="9">
        <f>SUMPRODUCT(B180:G180,$B$3:$G$3)/SUM($B$3:$G$3)</f>
        <v>8.7272727272727284</v>
      </c>
    </row>
    <row r="181" spans="1:8">
      <c r="A181" t="s">
        <v>18</v>
      </c>
      <c r="B181">
        <f>VLOOKUP(Model!D72,Results!$K$8:$L$18,2,1)</f>
        <v>6</v>
      </c>
      <c r="C181">
        <f>VLOOKUP(Model!E72,Results!$K$8:$L$18,2,1)</f>
        <v>4</v>
      </c>
      <c r="D181">
        <f>VLOOKUP(Model!G72,Results!$K$8:$L$18,2,1)</f>
        <v>6</v>
      </c>
      <c r="E181">
        <f>VLOOKUP(Model!I72,Results!$K$8:$L$18,2,1)</f>
        <v>10</v>
      </c>
      <c r="G181">
        <v>7</v>
      </c>
      <c r="H181" s="9">
        <f>SUMPRODUCT(B181:G181,$B$3:$G$3)/SUM($B$3:$G$3)</f>
        <v>5.8181818181818183</v>
      </c>
    </row>
    <row r="182" spans="1:8">
      <c r="A182" t="s">
        <v>34</v>
      </c>
      <c r="B182">
        <f>VLOOKUP(Model!D167,Results!$K$8:$L$18,2,1)</f>
        <v>10</v>
      </c>
      <c r="C182">
        <f>VLOOKUP(Model!E167,Results!$K$8:$L$18,2,1)</f>
        <v>10</v>
      </c>
      <c r="D182">
        <f>VLOOKUP(Model!G167,Results!$K$8:$L$18,2,1)</f>
        <v>10</v>
      </c>
      <c r="E182">
        <f>VLOOKUP(Model!I167,Results!$K$8:$L$18,2,1)</f>
        <v>10</v>
      </c>
      <c r="G182">
        <v>7</v>
      </c>
      <c r="H182" s="9">
        <f>SUMPRODUCT(B182:G182,$B$3:$G$3)/SUM($B$3:$G$3)</f>
        <v>8.7272727272727284</v>
      </c>
    </row>
    <row r="183" spans="1:8">
      <c r="H183" s="9"/>
    </row>
    <row r="184" spans="1:8">
      <c r="H184" s="9"/>
    </row>
    <row r="185" spans="1:8">
      <c r="A185" s="52" t="s">
        <v>43</v>
      </c>
      <c r="B185" s="52"/>
      <c r="C185" s="52"/>
      <c r="D185" s="52"/>
      <c r="E185" s="52"/>
      <c r="F185" s="52"/>
      <c r="G185" s="52"/>
      <c r="H185" s="52"/>
    </row>
    <row r="186" spans="1:8">
      <c r="B186" s="1" t="s">
        <v>7</v>
      </c>
      <c r="C186" s="1" t="s">
        <v>8</v>
      </c>
      <c r="D186" s="1" t="s">
        <v>9</v>
      </c>
      <c r="E186" s="1" t="s">
        <v>10</v>
      </c>
      <c r="F186" s="1" t="s">
        <v>11</v>
      </c>
      <c r="G186" s="1" t="s">
        <v>12</v>
      </c>
      <c r="H186" s="1" t="s">
        <v>13</v>
      </c>
    </row>
    <row r="187" spans="1:8" ht="17.100000000000001" thickBot="1">
      <c r="A187" s="17" t="s">
        <v>22</v>
      </c>
      <c r="B187" s="18">
        <f>$K$3</f>
        <v>1.2</v>
      </c>
      <c r="C187" s="18">
        <f>$L$3</f>
        <v>1.2</v>
      </c>
      <c r="D187" s="18">
        <f>$M$3</f>
        <v>1.8</v>
      </c>
      <c r="E187" s="18">
        <f>$N$3</f>
        <v>1</v>
      </c>
      <c r="F187" s="18">
        <f>$O$3</f>
        <v>0.6</v>
      </c>
      <c r="G187" s="18">
        <f>$P$3</f>
        <v>0.8</v>
      </c>
      <c r="H187" s="18"/>
    </row>
    <row r="188" spans="1:8">
      <c r="A188" t="s">
        <v>15</v>
      </c>
      <c r="B188" s="24"/>
      <c r="C188" s="24"/>
      <c r="D188" s="24"/>
      <c r="E188" s="24"/>
      <c r="F188" s="24"/>
      <c r="G188" s="24"/>
      <c r="H188" s="25"/>
    </row>
    <row r="189" spans="1:8">
      <c r="A189" t="s">
        <v>16</v>
      </c>
      <c r="B189">
        <f>VLOOKUP(Model!D40,Results!$K$8:$L$18,2,1)</f>
        <v>10</v>
      </c>
      <c r="C189">
        <f>VLOOKUP(Model!E40,Results!$K$8:$L$18,2,1)</f>
        <v>10</v>
      </c>
      <c r="D189">
        <f>VLOOKUP(Model!G40,Results!$K$8:$L$18,2,1)</f>
        <v>10</v>
      </c>
      <c r="E189">
        <f>VLOOKUP(Model!I40,Results!$K$8:$L$18,2,1)</f>
        <v>10</v>
      </c>
      <c r="G189">
        <v>7</v>
      </c>
      <c r="H189" s="9">
        <f>SUMPRODUCT(B189:G189,$B$3:$G$3)/SUM($B$3:$G$3)</f>
        <v>8.7272727272727284</v>
      </c>
    </row>
    <row r="190" spans="1:8">
      <c r="A190" t="s">
        <v>32</v>
      </c>
      <c r="B190">
        <f>VLOOKUP(Model!D106,Results!$K$8:$L$18,2,1)</f>
        <v>4</v>
      </c>
      <c r="C190">
        <f>VLOOKUP(Model!E106,Results!$K$8:$L$18,2,1)</f>
        <v>2</v>
      </c>
      <c r="D190">
        <f>VLOOKUP(Model!G106,Results!$K$8:$L$18,2,1)</f>
        <v>4</v>
      </c>
      <c r="E190">
        <f>VLOOKUP(Model!I106,Results!$K$8:$L$18,2,1)</f>
        <v>9</v>
      </c>
      <c r="G190">
        <v>7</v>
      </c>
      <c r="H190" s="9">
        <f>SUMPRODUCT(B190:G190,$B$3:$G$3)/SUM($B$3:$G$3)</f>
        <v>4.3939393939393945</v>
      </c>
    </row>
    <row r="191" spans="1:8">
      <c r="A191" t="s">
        <v>18</v>
      </c>
      <c r="B191">
        <f>VLOOKUP(Model!D73,Results!$K$8:$L$18,2,1)</f>
        <v>10</v>
      </c>
      <c r="C191">
        <f>VLOOKUP(Model!E73,Results!$K$8:$L$18,2,1)</f>
        <v>9</v>
      </c>
      <c r="D191">
        <f>VLOOKUP(Model!G73,Results!$K$8:$L$18,2,1)</f>
        <v>10</v>
      </c>
      <c r="E191">
        <f>VLOOKUP(Model!I73,Results!$K$8:$L$18,2,1)</f>
        <v>10</v>
      </c>
      <c r="G191">
        <v>7</v>
      </c>
      <c r="H191" s="9">
        <f>SUMPRODUCT(B191:G191,$B$3:$G$3)/SUM($B$3:$G$3)</f>
        <v>8.545454545454545</v>
      </c>
    </row>
    <row r="192" spans="1:8">
      <c r="A192" t="s">
        <v>34</v>
      </c>
      <c r="B192">
        <f>VLOOKUP(Model!D168,Results!$K$8:$L$18,2,1)</f>
        <v>10</v>
      </c>
      <c r="C192">
        <f>VLOOKUP(Model!E168,Results!$K$8:$L$18,2,1)</f>
        <v>7</v>
      </c>
      <c r="D192">
        <f>VLOOKUP(Model!G168,Results!$K$8:$L$18,2,1)</f>
        <v>7</v>
      </c>
      <c r="E192">
        <f>VLOOKUP(Model!I168,Results!$K$8:$L$18,2,1)</f>
        <v>10</v>
      </c>
      <c r="G192">
        <v>7</v>
      </c>
      <c r="H192" s="9">
        <f>SUMPRODUCT(B192:G192,$B$3:$G$3)/SUM($B$3:$G$3)</f>
        <v>7.3636363636363642</v>
      </c>
    </row>
    <row r="193" spans="1:8">
      <c r="H193" s="9"/>
    </row>
    <row r="194" spans="1:8">
      <c r="H194" s="9"/>
    </row>
    <row r="195" spans="1:8">
      <c r="A195" s="52" t="s">
        <v>44</v>
      </c>
      <c r="B195" s="52"/>
      <c r="C195" s="52"/>
      <c r="D195" s="52"/>
      <c r="E195" s="52"/>
      <c r="F195" s="52"/>
      <c r="G195" s="52"/>
      <c r="H195" s="52"/>
    </row>
    <row r="196" spans="1:8">
      <c r="B196" s="1" t="s">
        <v>7</v>
      </c>
      <c r="C196" s="1" t="s">
        <v>8</v>
      </c>
      <c r="D196" s="1" t="s">
        <v>9</v>
      </c>
      <c r="E196" s="1" t="s">
        <v>10</v>
      </c>
      <c r="F196" s="1" t="s">
        <v>11</v>
      </c>
      <c r="G196" s="1" t="s">
        <v>12</v>
      </c>
      <c r="H196" s="1" t="s">
        <v>13</v>
      </c>
    </row>
    <row r="197" spans="1:8" ht="17.100000000000001" thickBot="1">
      <c r="A197" s="17" t="s">
        <v>22</v>
      </c>
      <c r="B197" s="18">
        <f>$K$3</f>
        <v>1.2</v>
      </c>
      <c r="C197" s="18">
        <f>$L$3</f>
        <v>1.2</v>
      </c>
      <c r="D197" s="18">
        <f>$M$3</f>
        <v>1.8</v>
      </c>
      <c r="E197" s="18">
        <f>$N$3</f>
        <v>1</v>
      </c>
      <c r="F197" s="18">
        <f>$O$3</f>
        <v>0.6</v>
      </c>
      <c r="G197" s="18">
        <f>$P$3</f>
        <v>0.8</v>
      </c>
      <c r="H197" s="18"/>
    </row>
    <row r="198" spans="1:8">
      <c r="A198" t="s">
        <v>15</v>
      </c>
      <c r="B198" s="24"/>
      <c r="C198" s="24"/>
      <c r="D198" s="24"/>
      <c r="E198" s="24"/>
      <c r="F198" s="24"/>
      <c r="G198" s="24"/>
      <c r="H198" s="25"/>
    </row>
    <row r="199" spans="1:8">
      <c r="A199" t="s">
        <v>16</v>
      </c>
      <c r="B199">
        <f>VLOOKUP(Model!D41,Results!$K$8:$L$18,2,1)</f>
        <v>8</v>
      </c>
      <c r="C199">
        <f>VLOOKUP(Model!E41,Results!$K$8:$L$18,2,1)</f>
        <v>7</v>
      </c>
      <c r="D199">
        <f>VLOOKUP(Model!G41,Results!$K$8:$L$18,2,1)</f>
        <v>9</v>
      </c>
      <c r="E199">
        <f>VLOOKUP(Model!I41,Results!$K$8:$L$18,2,1)</f>
        <v>10</v>
      </c>
      <c r="G199">
        <v>7</v>
      </c>
      <c r="H199" s="9">
        <f>SUMPRODUCT(B199:G199,$B$3:$G$3)/SUM($B$3:$G$3)</f>
        <v>7.5454545454545467</v>
      </c>
    </row>
    <row r="200" spans="1:8">
      <c r="A200" t="s">
        <v>32</v>
      </c>
      <c r="B200">
        <f>VLOOKUP(Model!D107,Results!$K$8:$L$18,2,1)</f>
        <v>10</v>
      </c>
      <c r="C200">
        <f>VLOOKUP(Model!E107,Results!$K$8:$L$18,2,1)</f>
        <v>10</v>
      </c>
      <c r="D200">
        <f>VLOOKUP(Model!G107,Results!$K$8:$L$18,2,1)</f>
        <v>10</v>
      </c>
      <c r="E200">
        <f>VLOOKUP(Model!I107,Results!$K$8:$L$18,2,1)</f>
        <v>9</v>
      </c>
      <c r="G200">
        <v>7</v>
      </c>
      <c r="H200" s="9">
        <f>SUMPRODUCT(B200:G200,$B$3:$G$3)/SUM($B$3:$G$3)</f>
        <v>8.5757575757575761</v>
      </c>
    </row>
    <row r="201" spans="1:8">
      <c r="A201" t="s">
        <v>18</v>
      </c>
      <c r="B201">
        <f>VLOOKUP(Model!D74,Results!$K$8:$L$18,2,1)</f>
        <v>7</v>
      </c>
      <c r="C201">
        <f>VLOOKUP(Model!E74,Results!$K$8:$L$18,2,1)</f>
        <v>5</v>
      </c>
      <c r="D201">
        <f>VLOOKUP(Model!G74,Results!$K$8:$L$18,2,1)</f>
        <v>7</v>
      </c>
      <c r="E201">
        <f>VLOOKUP(Model!I74,Results!$K$8:$L$18,2,1)</f>
        <v>9</v>
      </c>
      <c r="G201">
        <v>7</v>
      </c>
      <c r="H201" s="9">
        <f>SUMPRODUCT(B201:G201,$B$3:$G$3)/SUM($B$3:$G$3)</f>
        <v>6.3030303030303036</v>
      </c>
    </row>
    <row r="202" spans="1:8">
      <c r="A202" t="s">
        <v>34</v>
      </c>
      <c r="B202">
        <f>VLOOKUP(Model!D169,Results!$K$8:$L$18,2,1)</f>
        <v>10</v>
      </c>
      <c r="C202">
        <f>VLOOKUP(Model!E169,Results!$K$8:$L$18,2,1)</f>
        <v>10</v>
      </c>
      <c r="D202">
        <f>VLOOKUP(Model!G169,Results!$K$8:$L$18,2,1)</f>
        <v>10</v>
      </c>
      <c r="E202">
        <f>VLOOKUP(Model!I169,Results!$K$8:$L$18,2,1)</f>
        <v>8</v>
      </c>
      <c r="G202">
        <v>7</v>
      </c>
      <c r="H202" s="9">
        <f>SUMPRODUCT(B202:G202,$B$3:$G$3)/SUM($B$3:$G$3)</f>
        <v>8.4242424242424256</v>
      </c>
    </row>
    <row r="203" spans="1:8">
      <c r="H203" s="9"/>
    </row>
    <row r="204" spans="1:8">
      <c r="H204" s="9"/>
    </row>
    <row r="205" spans="1:8">
      <c r="A205" s="52" t="s">
        <v>45</v>
      </c>
      <c r="B205" s="52"/>
      <c r="C205" s="52"/>
      <c r="D205" s="52"/>
      <c r="E205" s="52"/>
      <c r="F205" s="52"/>
      <c r="G205" s="52"/>
      <c r="H205" s="52"/>
    </row>
    <row r="206" spans="1:8">
      <c r="B206" s="1" t="s">
        <v>7</v>
      </c>
      <c r="C206" s="1" t="s">
        <v>8</v>
      </c>
      <c r="D206" s="1" t="s">
        <v>9</v>
      </c>
      <c r="E206" s="1" t="s">
        <v>10</v>
      </c>
      <c r="F206" s="1" t="s">
        <v>11</v>
      </c>
      <c r="G206" s="1" t="s">
        <v>12</v>
      </c>
      <c r="H206" s="1" t="s">
        <v>13</v>
      </c>
    </row>
    <row r="207" spans="1:8">
      <c r="A207" s="17" t="s">
        <v>22</v>
      </c>
      <c r="B207" s="18">
        <f>$K$3</f>
        <v>1.2</v>
      </c>
      <c r="C207" s="18">
        <f>$L$3</f>
        <v>1.2</v>
      </c>
      <c r="D207" s="18">
        <f>$M$3</f>
        <v>1.8</v>
      </c>
      <c r="E207" s="18">
        <f>$N$3</f>
        <v>1</v>
      </c>
      <c r="F207" s="18">
        <f>$O$3</f>
        <v>0.6</v>
      </c>
      <c r="G207" s="18">
        <f>$P$3</f>
        <v>0.8</v>
      </c>
      <c r="H207" s="18"/>
    </row>
    <row r="208" spans="1:8">
      <c r="A208" t="s">
        <v>15</v>
      </c>
      <c r="B208" s="24"/>
      <c r="C208" s="24"/>
      <c r="D208" s="24"/>
      <c r="E208" s="24"/>
      <c r="F208" s="24"/>
      <c r="G208" s="24"/>
      <c r="H208" s="25"/>
    </row>
    <row r="209" spans="1:8">
      <c r="A209" t="s">
        <v>16</v>
      </c>
      <c r="B209">
        <f>VLOOKUP(Model!D42,Results!$K$8:$L$18,2,1)</f>
        <v>10</v>
      </c>
      <c r="C209">
        <f>VLOOKUP(Model!E42,Results!$K$8:$L$18,2,1)</f>
        <v>10</v>
      </c>
      <c r="D209">
        <f>VLOOKUP(Model!G42,Results!$K$8:$L$18,2,1)</f>
        <v>10</v>
      </c>
      <c r="E209">
        <f>VLOOKUP(Model!I42,Results!$K$8:$L$18,2,1)</f>
        <v>10</v>
      </c>
      <c r="G209">
        <v>9</v>
      </c>
      <c r="H209" s="9">
        <f>SUMPRODUCT(B209:G209,$B$3:$G$3)/SUM($B$3:$G$3)</f>
        <v>8.9696969696969706</v>
      </c>
    </row>
    <row r="210" spans="1:8">
      <c r="A210" t="s">
        <v>32</v>
      </c>
      <c r="B210">
        <f>VLOOKUP(Model!D108,Results!$K$8:$L$18,2,1)</f>
        <v>10</v>
      </c>
      <c r="C210">
        <f>VLOOKUP(Model!E108,Results!$K$8:$L$18,2,1)</f>
        <v>9</v>
      </c>
      <c r="D210">
        <f>VLOOKUP(Model!G108,Results!$K$8:$L$18,2,1)</f>
        <v>9</v>
      </c>
      <c r="E210">
        <f>VLOOKUP(Model!I108,Results!$K$8:$L$18,2,1)</f>
        <v>10</v>
      </c>
      <c r="G210">
        <v>9</v>
      </c>
      <c r="H210" s="9">
        <f>SUMPRODUCT(B210:G210,$B$3:$G$3)/SUM($B$3:$G$3)</f>
        <v>8.5151515151515156</v>
      </c>
    </row>
    <row r="211" spans="1:8">
      <c r="A211" t="s">
        <v>18</v>
      </c>
      <c r="B211">
        <f>VLOOKUP(Model!D75,Results!$K$8:$L$18,2,1)</f>
        <v>10</v>
      </c>
      <c r="C211">
        <f>VLOOKUP(Model!E75,Results!$K$8:$L$18,2,1)</f>
        <v>5</v>
      </c>
      <c r="D211">
        <f>VLOOKUP(Model!G75,Results!$K$8:$L$18,2,1)</f>
        <v>7</v>
      </c>
      <c r="E211">
        <f>VLOOKUP(Model!I75,Results!$K$8:$L$18,2,1)</f>
        <v>10</v>
      </c>
      <c r="G211">
        <v>9</v>
      </c>
      <c r="H211" s="9">
        <f>SUMPRODUCT(B211:G211,$B$3:$G$3)/SUM($B$3:$G$3)</f>
        <v>7.2424242424242431</v>
      </c>
    </row>
    <row r="212" spans="1:8">
      <c r="A212" t="s">
        <v>34</v>
      </c>
      <c r="B212">
        <f>VLOOKUP(Model!D170,Results!$K$8:$L$18,2,1)</f>
        <v>10</v>
      </c>
      <c r="C212">
        <f>VLOOKUP(Model!E170,Results!$K$8:$L$18,2,1)</f>
        <v>8</v>
      </c>
      <c r="D212">
        <f>VLOOKUP(Model!G170,Results!$K$8:$L$18,2,1)</f>
        <v>9</v>
      </c>
      <c r="E212">
        <f>VLOOKUP(Model!I170,Results!$K$8:$L$18,2,1)</f>
        <v>9</v>
      </c>
      <c r="G212">
        <v>9</v>
      </c>
      <c r="H212" s="9">
        <f>SUMPRODUCT(B212:G212,$B$3:$G$3)/SUM($B$3:$G$3)</f>
        <v>8.1818181818181817</v>
      </c>
    </row>
    <row r="213" spans="1:8">
      <c r="H213" s="9"/>
    </row>
    <row r="214" spans="1:8">
      <c r="H214" s="9"/>
    </row>
    <row r="215" spans="1:8">
      <c r="A215" s="52" t="s">
        <v>46</v>
      </c>
      <c r="B215" s="52"/>
      <c r="C215" s="52"/>
      <c r="D215" s="52"/>
      <c r="E215" s="52"/>
      <c r="F215" s="52"/>
      <c r="G215" s="52"/>
      <c r="H215" s="52"/>
    </row>
    <row r="216" spans="1:8">
      <c r="B216" s="1" t="s">
        <v>7</v>
      </c>
      <c r="C216" s="1" t="s">
        <v>8</v>
      </c>
      <c r="D216" s="1" t="s">
        <v>9</v>
      </c>
      <c r="E216" s="1" t="s">
        <v>10</v>
      </c>
      <c r="F216" s="1" t="s">
        <v>11</v>
      </c>
      <c r="G216" s="1" t="s">
        <v>12</v>
      </c>
      <c r="H216" s="1" t="s">
        <v>13</v>
      </c>
    </row>
    <row r="217" spans="1:8">
      <c r="A217" s="17" t="s">
        <v>22</v>
      </c>
      <c r="B217" s="18">
        <f>$K$3</f>
        <v>1.2</v>
      </c>
      <c r="C217" s="18">
        <f>$L$3</f>
        <v>1.2</v>
      </c>
      <c r="D217" s="18">
        <f>$M$3</f>
        <v>1.8</v>
      </c>
      <c r="E217" s="18">
        <f>$N$3</f>
        <v>1</v>
      </c>
      <c r="F217" s="18">
        <f>$O$3</f>
        <v>0.6</v>
      </c>
      <c r="G217" s="18">
        <f>$P$3</f>
        <v>0.8</v>
      </c>
      <c r="H217" s="18"/>
    </row>
    <row r="218" spans="1:8">
      <c r="A218" t="s">
        <v>15</v>
      </c>
      <c r="B218" s="24"/>
      <c r="C218" s="24"/>
      <c r="D218" s="24"/>
      <c r="E218" s="24"/>
      <c r="F218" s="24"/>
      <c r="G218" s="24"/>
      <c r="H218" s="25"/>
    </row>
    <row r="219" spans="1:8">
      <c r="A219" t="s">
        <v>16</v>
      </c>
      <c r="B219">
        <f>VLOOKUP(Model!D43,Results!$K$8:$L$18,2,1)</f>
        <v>10</v>
      </c>
      <c r="C219">
        <f>VLOOKUP(Model!E43,Results!$K$8:$L$18,2,1)</f>
        <v>8</v>
      </c>
      <c r="D219">
        <f>VLOOKUP(Model!G43,Results!$K$8:$L$18,2,1)</f>
        <v>10</v>
      </c>
      <c r="E219">
        <f>VLOOKUP(Model!I43,Results!$K$8:$L$18,2,1)</f>
        <v>10</v>
      </c>
      <c r="G219">
        <v>9</v>
      </c>
      <c r="H219" s="9">
        <f>SUMPRODUCT(B219:G219,$B$3:$G$3)/SUM($B$3:$G$3)</f>
        <v>8.6060606060606073</v>
      </c>
    </row>
    <row r="220" spans="1:8">
      <c r="A220" t="s">
        <v>32</v>
      </c>
      <c r="B220">
        <f>VLOOKUP(Model!D109,Results!$K$8:$L$18,2,1)</f>
        <v>10</v>
      </c>
      <c r="C220">
        <f>VLOOKUP(Model!E109,Results!$K$8:$L$18,2,1)</f>
        <v>8</v>
      </c>
      <c r="D220">
        <f>VLOOKUP(Model!G109,Results!$K$8:$L$18,2,1)</f>
        <v>9</v>
      </c>
      <c r="E220">
        <f>VLOOKUP(Model!I109,Results!$K$8:$L$18,2,1)</f>
        <v>10</v>
      </c>
      <c r="G220">
        <v>9</v>
      </c>
      <c r="H220" s="9">
        <f>SUMPRODUCT(B220:G220,$B$3:$G$3)/SUM($B$3:$G$3)</f>
        <v>8.3333333333333339</v>
      </c>
    </row>
    <row r="221" spans="1:8">
      <c r="A221" t="s">
        <v>18</v>
      </c>
      <c r="B221">
        <f>VLOOKUP(Model!D76,Results!$K$8:$L$18,2,1)</f>
        <v>7</v>
      </c>
      <c r="C221">
        <f>VLOOKUP(Model!E76,Results!$K$8:$L$18,2,1)</f>
        <v>3</v>
      </c>
      <c r="D221">
        <f>VLOOKUP(Model!G76,Results!$K$8:$L$18,2,1)</f>
        <v>5</v>
      </c>
      <c r="E221">
        <f>VLOOKUP(Model!I76,Results!$K$8:$L$18,2,1)</f>
        <v>10</v>
      </c>
      <c r="G221">
        <v>9</v>
      </c>
      <c r="H221" s="9">
        <f>SUMPRODUCT(B221:G221,$B$3:$G$3)/SUM($B$3:$G$3)</f>
        <v>5.787878787878789</v>
      </c>
    </row>
    <row r="222" spans="1:8">
      <c r="A222" t="s">
        <v>34</v>
      </c>
      <c r="B222">
        <f>VLOOKUP(Model!D171,Results!$K$8:$L$18,2,1)</f>
        <v>10</v>
      </c>
      <c r="C222">
        <f>VLOOKUP(Model!E171,Results!$K$8:$L$18,2,1)</f>
        <v>10</v>
      </c>
      <c r="D222">
        <f>VLOOKUP(Model!G171,Results!$K$8:$L$18,2,1)</f>
        <v>10</v>
      </c>
      <c r="E222">
        <f>VLOOKUP(Model!I171,Results!$K$8:$L$18,2,1)</f>
        <v>10</v>
      </c>
      <c r="G222">
        <v>9</v>
      </c>
      <c r="H222" s="9">
        <f>SUMPRODUCT(B222:G222,$B$3:$G$3)/SUM($B$3:$G$3)</f>
        <v>8.9696969696969706</v>
      </c>
    </row>
    <row r="223" spans="1:8">
      <c r="H223" s="9"/>
    </row>
    <row r="224" spans="1:8">
      <c r="H224" s="9"/>
    </row>
    <row r="225" spans="1:8">
      <c r="H225" s="9"/>
    </row>
    <row r="226" spans="1:8">
      <c r="H226" s="9"/>
    </row>
    <row r="227" spans="1:8">
      <c r="H227" s="9"/>
    </row>
    <row r="228" spans="1:8">
      <c r="H228" s="9"/>
    </row>
    <row r="229" spans="1:8">
      <c r="H229" s="9"/>
    </row>
    <row r="230" spans="1:8">
      <c r="H230" s="9"/>
    </row>
    <row r="231" spans="1:8">
      <c r="H231" s="9"/>
    </row>
    <row r="232" spans="1:8">
      <c r="H232" s="9"/>
    </row>
    <row r="233" spans="1:8">
      <c r="H233" s="9"/>
    </row>
    <row r="234" spans="1:8">
      <c r="H234" s="9"/>
    </row>
    <row r="235" spans="1:8">
      <c r="H235" s="9"/>
    </row>
    <row r="236" spans="1:8">
      <c r="H236" s="9"/>
    </row>
    <row r="237" spans="1:8">
      <c r="H237" s="9"/>
    </row>
    <row r="238" spans="1:8">
      <c r="A238" s="38" t="s">
        <v>47</v>
      </c>
      <c r="B238" s="39" t="s">
        <v>15</v>
      </c>
      <c r="C238" s="39" t="s">
        <v>16</v>
      </c>
      <c r="D238" s="39" t="s">
        <v>32</v>
      </c>
      <c r="E238" s="39" t="s">
        <v>18</v>
      </c>
      <c r="F238" s="39" t="s">
        <v>20</v>
      </c>
      <c r="G238" s="39" t="s">
        <v>34</v>
      </c>
      <c r="H238" s="39" t="s">
        <v>17</v>
      </c>
    </row>
    <row r="239" spans="1:8">
      <c r="A239" s="4">
        <v>22</v>
      </c>
      <c r="B239" s="35">
        <f>H4</f>
        <v>8.1212121212121211</v>
      </c>
      <c r="C239" s="9">
        <f>H5</f>
        <v>3.5454545454545459</v>
      </c>
      <c r="D239" s="9"/>
      <c r="E239" s="9">
        <f>H7</f>
        <v>3.8181818181818188</v>
      </c>
      <c r="F239" s="9">
        <f>H8</f>
        <v>6.0000000000000009</v>
      </c>
      <c r="H239" s="35">
        <v>2.393939393939394</v>
      </c>
    </row>
    <row r="240" spans="1:8">
      <c r="A240" s="4">
        <v>23</v>
      </c>
      <c r="B240" s="35">
        <f>H13</f>
        <v>4.9696969696969697</v>
      </c>
      <c r="C240" s="9">
        <f>H14</f>
        <v>4.4545454545454541</v>
      </c>
      <c r="D240" s="9"/>
      <c r="E240" s="9">
        <f>H16</f>
        <v>4.1818181818181825</v>
      </c>
      <c r="F240" s="9">
        <f>H17</f>
        <v>5.4242424242424239</v>
      </c>
      <c r="H240" s="35">
        <v>7.1818181818181817</v>
      </c>
    </row>
    <row r="241" spans="1:8">
      <c r="A241" s="4">
        <v>24</v>
      </c>
      <c r="B241" s="35">
        <f>H22</f>
        <v>6.0606060606060606</v>
      </c>
      <c r="C241" s="9">
        <f>H23</f>
        <v>4.3333333333333339</v>
      </c>
      <c r="D241" s="9"/>
      <c r="E241" s="9">
        <f>H25</f>
        <v>3.3030303030303032</v>
      </c>
      <c r="F241" s="9">
        <f>H26</f>
        <v>7.3636363636363642</v>
      </c>
      <c r="H241" s="35">
        <v>6.8181818181818183</v>
      </c>
    </row>
    <row r="242" spans="1:8">
      <c r="A242" s="4">
        <v>25</v>
      </c>
      <c r="B242" s="35">
        <f>H31</f>
        <v>6.5454545454545459</v>
      </c>
      <c r="C242" s="9">
        <f>H32</f>
        <v>4.3333333333333339</v>
      </c>
      <c r="D242" s="9"/>
      <c r="E242" s="9">
        <f>H34</f>
        <v>2.8484848484848486</v>
      </c>
      <c r="F242" s="9">
        <f>H35</f>
        <v>3.2121212121212124</v>
      </c>
      <c r="H242" s="35">
        <v>2.8484848484848486</v>
      </c>
    </row>
    <row r="243" spans="1:8">
      <c r="A243" s="4">
        <v>26</v>
      </c>
      <c r="B243" s="35">
        <f>H40</f>
        <v>7.0303030303030303</v>
      </c>
      <c r="C243" s="9">
        <f>H41</f>
        <v>4.4545454545454541</v>
      </c>
      <c r="D243" s="9"/>
      <c r="E243" s="9">
        <f>H43</f>
        <v>3.6363636363636367</v>
      </c>
      <c r="F243" s="9">
        <f>H44</f>
        <v>3.454545454545455</v>
      </c>
      <c r="H243" s="35">
        <v>4.9393939393939394</v>
      </c>
    </row>
    <row r="244" spans="1:8">
      <c r="A244" s="4">
        <v>27</v>
      </c>
      <c r="B244" s="35">
        <f>H49</f>
        <v>8.1818181818181817</v>
      </c>
      <c r="C244" s="9">
        <f>H50</f>
        <v>4.0909090909090908</v>
      </c>
      <c r="D244" s="9"/>
      <c r="E244" s="9">
        <f>H52</f>
        <v>4.121212121212122</v>
      </c>
      <c r="F244" s="9">
        <f>H53</f>
        <v>7.8181818181818192</v>
      </c>
      <c r="H244" s="35">
        <v>5.9696969696969697</v>
      </c>
    </row>
    <row r="245" spans="1:8">
      <c r="A245" s="4">
        <v>28</v>
      </c>
      <c r="B245" s="35">
        <f>H58</f>
        <v>8.5757575757575761</v>
      </c>
      <c r="C245" s="9">
        <f>H59</f>
        <v>4.4545454545454541</v>
      </c>
      <c r="D245" s="9"/>
      <c r="E245" s="9">
        <f>H61</f>
        <v>3.6060606060606064</v>
      </c>
      <c r="F245" s="9">
        <f>H62</f>
        <v>7.8181818181818192</v>
      </c>
      <c r="H245" s="35">
        <v>5.3636363636363633</v>
      </c>
    </row>
    <row r="246" spans="1:8">
      <c r="A246" s="4">
        <v>29</v>
      </c>
      <c r="B246" s="35">
        <f>H67</f>
        <v>7.2727272727272743</v>
      </c>
      <c r="C246" s="9">
        <f>H68</f>
        <v>4.0909090909090908</v>
      </c>
      <c r="D246" s="9"/>
      <c r="E246" s="9">
        <f>H70</f>
        <v>4.2727272727272734</v>
      </c>
      <c r="F246" s="9">
        <f>H71</f>
        <v>5.787878787878789</v>
      </c>
      <c r="H246" s="35">
        <v>4.6060606060606064</v>
      </c>
    </row>
    <row r="247" spans="1:8">
      <c r="A247" s="4">
        <v>30</v>
      </c>
      <c r="B247" s="35">
        <f>H76</f>
        <v>7.3636363636363642</v>
      </c>
      <c r="C247" s="9">
        <f>H77</f>
        <v>4.0909090909090908</v>
      </c>
      <c r="D247" s="9"/>
      <c r="E247" s="9">
        <f>H79</f>
        <v>4.4545454545454541</v>
      </c>
      <c r="F247" s="9">
        <f>H80</f>
        <v>5.3939393939393945</v>
      </c>
      <c r="H247" s="35">
        <v>4.1515151515151514</v>
      </c>
    </row>
    <row r="248" spans="1:8">
      <c r="A248" s="4">
        <v>31</v>
      </c>
      <c r="B248" s="35">
        <f>H85</f>
        <v>7.6363636363636367</v>
      </c>
      <c r="C248" s="9">
        <f>H86</f>
        <v>4.2727272727272734</v>
      </c>
      <c r="D248" s="9"/>
      <c r="E248" s="9">
        <f>H88</f>
        <v>3.0909090909090913</v>
      </c>
      <c r="F248" s="9">
        <f>H89</f>
        <v>5.2424242424242431</v>
      </c>
      <c r="H248" s="35">
        <v>5.4848484848484853</v>
      </c>
    </row>
    <row r="249" spans="1:8">
      <c r="A249" s="4">
        <v>33</v>
      </c>
      <c r="B249" s="36">
        <f>_xlfn.XLOOKUP(B238,$A$94:$A$98,$H$94:$H$98)</f>
        <v>8.7272727272727284</v>
      </c>
      <c r="C249" s="9">
        <f>_xlfn.XLOOKUP(C238,$A$94:$A$98,$H$94:$H$98)</f>
        <v>4.6363636363636367</v>
      </c>
      <c r="D249" s="9">
        <f>_xlfn.XLOOKUP(D238,$A$94:$A$98,$H$94:$H$98)</f>
        <v>7.6363636363636367</v>
      </c>
      <c r="E249" s="9">
        <f>_xlfn.XLOOKUP(E238,$A$94:$A$98,$H$94:$H$98)</f>
        <v>2.5757575757575757</v>
      </c>
      <c r="F249" s="9">
        <f>_xlfn.XLOOKUP(F238,$A$94:$A$98,$H$94:$H$98)</f>
        <v>2.9090909090909092</v>
      </c>
      <c r="H249" s="34"/>
    </row>
    <row r="250" spans="1:8">
      <c r="A250" s="4">
        <v>34</v>
      </c>
      <c r="B250" s="34"/>
      <c r="C250" s="9">
        <f>_xlfn.XLOOKUP(C238,$A$104:$A$108,$H$104:$H$108)</f>
        <v>7.0000000000000009</v>
      </c>
      <c r="D250" s="9">
        <f t="shared" ref="D250:F250" si="0">_xlfn.XLOOKUP(D238,$A$104:$A$108,$H$104:$H$108)</f>
        <v>6.3939393939393936</v>
      </c>
      <c r="E250" s="9">
        <f t="shared" si="0"/>
        <v>6.6363636363636376</v>
      </c>
      <c r="F250" s="9">
        <f t="shared" si="0"/>
        <v>4.666666666666667</v>
      </c>
      <c r="H250" s="34"/>
    </row>
    <row r="251" spans="1:8">
      <c r="A251" s="4">
        <v>35</v>
      </c>
      <c r="B251" s="34"/>
      <c r="C251" s="9">
        <f>_xlfn.XLOOKUP(C238,$A$114:$A$117,$H$114:$H$117)</f>
        <v>7.6363636363636367</v>
      </c>
      <c r="D251" s="9">
        <f>_xlfn.XLOOKUP(D238,$A$114:$A$117,$H$114:$H$117)</f>
        <v>7.121212121212122</v>
      </c>
      <c r="E251" s="9">
        <f>_xlfn.XLOOKUP(E238,$A$114:$A$117,$H$114:$H$117)</f>
        <v>7.9090909090909092</v>
      </c>
      <c r="F251" s="35"/>
      <c r="G251" s="9">
        <f>_xlfn.XLOOKUP(G238,$A$114:$A$117,$H$114:$H$117)</f>
        <v>7.5757575757575761</v>
      </c>
      <c r="H251" s="34"/>
    </row>
    <row r="252" spans="1:8">
      <c r="A252" s="4">
        <v>36</v>
      </c>
      <c r="B252" s="34"/>
      <c r="C252" s="9">
        <f>_xlfn.XLOOKUP(C238,$A$123:$A$126,$H$123:$H$126)</f>
        <v>7.2121212121212128</v>
      </c>
      <c r="D252" s="9">
        <f>_xlfn.XLOOKUP(D238,$A$123:$A$126,$H$123:$H$126)</f>
        <v>6.8484848484848495</v>
      </c>
      <c r="E252" s="9">
        <f>_xlfn.XLOOKUP(E238,$A$123:$A$126,$H$123:$H$126)</f>
        <v>8.5757575757575761</v>
      </c>
      <c r="F252" s="35"/>
      <c r="G252" s="9">
        <f>_xlfn.XLOOKUP(G238,$A$123:$A$126,$H$123:$H$126)</f>
        <v>5.0909090909090917</v>
      </c>
      <c r="H252" s="34"/>
    </row>
    <row r="253" spans="1:8">
      <c r="A253" s="4">
        <v>37</v>
      </c>
      <c r="B253" s="34"/>
      <c r="C253" s="9">
        <f>_xlfn.XLOOKUP(C238,$A$132:$A$135,$H$132:$H$135)</f>
        <v>7.121212121212122</v>
      </c>
      <c r="D253" s="9">
        <f t="shared" ref="D253:G253" si="1">_xlfn.XLOOKUP(D238,$A$132:$A$135,$H$132:$H$135)</f>
        <v>3.8181818181818188</v>
      </c>
      <c r="E253" s="9">
        <f t="shared" si="1"/>
        <v>5.9090909090909092</v>
      </c>
      <c r="F253" s="35"/>
      <c r="G253" s="9">
        <f t="shared" si="1"/>
        <v>7.9090909090909092</v>
      </c>
      <c r="H253" s="34"/>
    </row>
    <row r="254" spans="1:8">
      <c r="A254" s="4">
        <v>38</v>
      </c>
      <c r="B254" s="34"/>
      <c r="C254" s="9">
        <f>_xlfn.XLOOKUP(C238,$A$141:$A$144,$H$141:$H$144)</f>
        <v>7.8181818181818192</v>
      </c>
      <c r="D254" s="9">
        <f t="shared" ref="D254:G254" si="2">_xlfn.XLOOKUP(D238,$A$141:$A$144,$H$141:$H$144)</f>
        <v>8.3636363636363651</v>
      </c>
      <c r="E254" s="9">
        <f t="shared" si="2"/>
        <v>6.9090909090909101</v>
      </c>
      <c r="F254" s="35"/>
      <c r="G254" s="9">
        <f t="shared" si="2"/>
        <v>7.9090909090909092</v>
      </c>
      <c r="H254" s="34"/>
    </row>
    <row r="255" spans="1:8">
      <c r="A255" s="4">
        <v>39</v>
      </c>
      <c r="B255" s="34"/>
      <c r="C255" s="9">
        <f>_xlfn.XLOOKUP(C$238,$A$150:$A$153,$H$150:$H$153)</f>
        <v>8.7272727272727284</v>
      </c>
      <c r="D255" s="9">
        <f t="shared" ref="D255:G255" si="3">_xlfn.XLOOKUP(D$238,$A$150:$A$153,$H$150:$H$153)</f>
        <v>6.454545454545455</v>
      </c>
      <c r="E255" s="9">
        <f t="shared" si="3"/>
        <v>7.0909090909090917</v>
      </c>
      <c r="F255" s="35"/>
      <c r="G255" s="9">
        <f t="shared" si="3"/>
        <v>8.1818181818181817</v>
      </c>
      <c r="H255" s="34"/>
    </row>
    <row r="256" spans="1:8">
      <c r="A256" s="4">
        <v>40</v>
      </c>
      <c r="B256" s="34"/>
      <c r="C256" s="9">
        <f>_xlfn.XLOOKUP(C$238,$A$159:$A$162,$H$159:$H$162)</f>
        <v>8.454545454545455</v>
      </c>
      <c r="D256" s="9">
        <f t="shared" ref="D256:G256" si="4">_xlfn.XLOOKUP(D$238,$A$159:$A$162,$H$159:$H$162)</f>
        <v>6.9090909090909101</v>
      </c>
      <c r="E256" s="9">
        <f t="shared" si="4"/>
        <v>8.454545454545455</v>
      </c>
      <c r="F256" s="35"/>
      <c r="G256" s="9">
        <f t="shared" si="4"/>
        <v>6.9090909090909101</v>
      </c>
      <c r="H256" s="34"/>
    </row>
    <row r="257" spans="1:7">
      <c r="A257" s="4">
        <v>41</v>
      </c>
      <c r="C257" s="9">
        <f>_xlfn.XLOOKUP(C$238,$A$169:$A$172,$H$169:$H$172)</f>
        <v>8.5757575757575761</v>
      </c>
      <c r="D257" s="9">
        <f t="shared" ref="D257:G257" si="5">_xlfn.XLOOKUP(D$238,$A$169:$A$172,$H$169:$H$172)</f>
        <v>3.8181818181818188</v>
      </c>
      <c r="E257" s="9">
        <f t="shared" si="5"/>
        <v>7.6363636363636367</v>
      </c>
      <c r="F257" s="9"/>
      <c r="G257" s="9">
        <f t="shared" si="5"/>
        <v>8.5757575757575761</v>
      </c>
    </row>
    <row r="258" spans="1:7">
      <c r="A258" s="4">
        <v>42</v>
      </c>
      <c r="C258" s="9">
        <f>_xlfn.XLOOKUP(C$238,$A$179:$A$182,$H$179:$H$182)</f>
        <v>7.2727272727272734</v>
      </c>
      <c r="D258" s="9">
        <f>_xlfn.XLOOKUP(D$238,$A$179:$A$182,$H$179:$H$182)</f>
        <v>8.7272727272727284</v>
      </c>
      <c r="E258" s="9">
        <f t="shared" ref="E258:G258" si="6">_xlfn.XLOOKUP(E$238,$A$179:$A$182,$H$179:$H$182)</f>
        <v>5.8181818181818183</v>
      </c>
      <c r="F258" s="9"/>
      <c r="G258" s="9">
        <f t="shared" si="6"/>
        <v>8.7272727272727284</v>
      </c>
    </row>
    <row r="259" spans="1:7">
      <c r="A259" s="4">
        <v>43</v>
      </c>
      <c r="C259" s="9">
        <f>_xlfn.XLOOKUP(C$238,$A$189:$A$192,$H$189:$H$192)</f>
        <v>8.7272727272727284</v>
      </c>
      <c r="D259" s="9">
        <f>_xlfn.XLOOKUP(D$238,$A$189:$A$192,$H$189:$H$192)</f>
        <v>4.3939393939393945</v>
      </c>
      <c r="E259" s="9">
        <f t="shared" ref="E259:G259" si="7">_xlfn.XLOOKUP(E$238,$A$189:$A$192,$H$189:$H$192)</f>
        <v>8.545454545454545</v>
      </c>
      <c r="F259" s="9"/>
      <c r="G259" s="9">
        <f t="shared" si="7"/>
        <v>7.3636363636363642</v>
      </c>
    </row>
    <row r="260" spans="1:7">
      <c r="A260" s="4">
        <v>44</v>
      </c>
      <c r="C260" s="9">
        <f>_xlfn.XLOOKUP(C$238,$A$199:$A$202,$H$199:$H$202)</f>
        <v>7.5454545454545467</v>
      </c>
      <c r="D260" s="9">
        <f t="shared" ref="D260:G260" si="8">_xlfn.XLOOKUP(D$238,$A$199:$A$202,$H$199:$H$202)</f>
        <v>8.5757575757575761</v>
      </c>
      <c r="E260" s="9">
        <f t="shared" si="8"/>
        <v>6.3030303030303036</v>
      </c>
      <c r="F260" s="9"/>
      <c r="G260" s="9">
        <f t="shared" si="8"/>
        <v>8.4242424242424256</v>
      </c>
    </row>
    <row r="261" spans="1:7">
      <c r="A261" s="4">
        <v>45</v>
      </c>
      <c r="C261" s="9">
        <f>_xlfn.XLOOKUP(C$238,$A$209:$A$212,$H$209:$H$212)</f>
        <v>8.9696969696969706</v>
      </c>
      <c r="D261" s="9">
        <f t="shared" ref="D261:G261" si="9">_xlfn.XLOOKUP(D$238,$A$209:$A$212,$H$209:$H$212)</f>
        <v>8.5151515151515156</v>
      </c>
      <c r="E261" s="9">
        <f t="shared" si="9"/>
        <v>7.2424242424242431</v>
      </c>
      <c r="F261" s="9"/>
      <c r="G261" s="9">
        <f t="shared" si="9"/>
        <v>8.1818181818181817</v>
      </c>
    </row>
    <row r="262" spans="1:7">
      <c r="A262" s="4">
        <v>46</v>
      </c>
      <c r="C262" s="9">
        <f>_xlfn.XLOOKUP(C$238,$A$219:$A$222,$H$219:$H$222)</f>
        <v>8.6060606060606073</v>
      </c>
      <c r="D262" s="9">
        <f t="shared" ref="D262:G262" si="10">_xlfn.XLOOKUP(D$238,$A$219:$A$222,$H$219:$H$222)</f>
        <v>8.3333333333333339</v>
      </c>
      <c r="E262" s="9">
        <f t="shared" si="10"/>
        <v>5.787878787878789</v>
      </c>
      <c r="F262" s="9"/>
      <c r="G262" s="9">
        <f t="shared" si="10"/>
        <v>8.9696969696969706</v>
      </c>
    </row>
  </sheetData>
  <mergeCells count="32">
    <mergeCell ref="A205:H205"/>
    <mergeCell ref="A215:H215"/>
    <mergeCell ref="A195:H195"/>
    <mergeCell ref="A175:H175"/>
    <mergeCell ref="A185:H185"/>
    <mergeCell ref="K1:P1"/>
    <mergeCell ref="K7:AA7"/>
    <mergeCell ref="A1:H1"/>
    <mergeCell ref="A10:H10"/>
    <mergeCell ref="A19:H19"/>
    <mergeCell ref="Z8:AA8"/>
    <mergeCell ref="K8:L8"/>
    <mergeCell ref="N8:O8"/>
    <mergeCell ref="Q8:R8"/>
    <mergeCell ref="T8:U8"/>
    <mergeCell ref="W8:X8"/>
    <mergeCell ref="A55:H55"/>
    <mergeCell ref="A73:H73"/>
    <mergeCell ref="A64:H64"/>
    <mergeCell ref="A28:H28"/>
    <mergeCell ref="A37:H37"/>
    <mergeCell ref="A46:H46"/>
    <mergeCell ref="A165:H165"/>
    <mergeCell ref="A110:H110"/>
    <mergeCell ref="A82:H82"/>
    <mergeCell ref="A91:H91"/>
    <mergeCell ref="A100:H100"/>
    <mergeCell ref="A146:H146"/>
    <mergeCell ref="A155:H155"/>
    <mergeCell ref="A137:H137"/>
    <mergeCell ref="A128:H128"/>
    <mergeCell ref="A119:H1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2664-C5E8-6143-B9D3-5C12274A0705}">
  <dimension ref="A1:X244"/>
  <sheetViews>
    <sheetView zoomScale="108" zoomScaleNormal="108" workbookViewId="0">
      <selection activeCell="B16" sqref="B16"/>
    </sheetView>
  </sheetViews>
  <sheetFormatPr defaultColWidth="11" defaultRowHeight="15.95"/>
  <cols>
    <col min="1" max="1" width="17.125" customWidth="1"/>
    <col min="2" max="2" width="21" customWidth="1"/>
    <col min="3" max="3" width="15.625" customWidth="1"/>
    <col min="4" max="4" width="16.5" customWidth="1"/>
    <col min="5" max="5" width="14.875" customWidth="1"/>
    <col min="6" max="6" width="13.875" customWidth="1"/>
    <col min="8" max="8" width="10.875" customWidth="1"/>
    <col min="10" max="10" width="11" style="22"/>
  </cols>
  <sheetData>
    <row r="1" spans="1:24" ht="23.1" customHeight="1">
      <c r="A1" s="55" t="s">
        <v>15</v>
      </c>
      <c r="B1" s="55"/>
      <c r="C1" s="55"/>
      <c r="D1" s="55"/>
      <c r="E1" s="55"/>
      <c r="F1" s="55"/>
      <c r="G1" s="55"/>
      <c r="H1" s="55"/>
      <c r="I1" s="55"/>
      <c r="M1" s="1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33" t="s">
        <v>48</v>
      </c>
      <c r="B2" s="33" t="s">
        <v>49</v>
      </c>
      <c r="C2" s="33" t="s">
        <v>50</v>
      </c>
      <c r="D2" s="33" t="s">
        <v>51</v>
      </c>
      <c r="E2" s="33" t="s">
        <v>52</v>
      </c>
      <c r="F2" s="33" t="s">
        <v>53</v>
      </c>
      <c r="G2" s="33" t="s">
        <v>54</v>
      </c>
      <c r="H2" s="33" t="s">
        <v>10</v>
      </c>
      <c r="I2" s="33" t="s">
        <v>55</v>
      </c>
      <c r="M2" s="2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>
      <c r="A3" s="26" t="s">
        <v>56</v>
      </c>
      <c r="B3" s="26">
        <v>46.75</v>
      </c>
      <c r="C3" s="26">
        <v>51.75</v>
      </c>
      <c r="D3" s="27">
        <f>B3/C3</f>
        <v>0.90338164251207731</v>
      </c>
      <c r="E3" s="28">
        <f t="shared" ref="E3:E11" si="0">B3/B179</f>
        <v>1.464751958224543</v>
      </c>
      <c r="F3" s="26">
        <v>47.5</v>
      </c>
      <c r="G3" s="28">
        <f t="shared" ref="G3:G7" si="1">B3/F3</f>
        <v>0.98421052631578942</v>
      </c>
      <c r="H3" s="29">
        <v>50</v>
      </c>
      <c r="I3" s="28">
        <f>F3/H3</f>
        <v>0.95</v>
      </c>
      <c r="M3" s="2"/>
      <c r="O3" s="5"/>
      <c r="S3" s="5"/>
    </row>
    <row r="4" spans="1:24">
      <c r="A4" s="26" t="s">
        <v>57</v>
      </c>
      <c r="B4" s="26">
        <v>12.67</v>
      </c>
      <c r="C4" s="26">
        <v>17.670000000000002</v>
      </c>
      <c r="D4" s="27">
        <f t="shared" ref="D4:D11" si="2">B4/C4</f>
        <v>0.71703452178834171</v>
      </c>
      <c r="E4" s="28">
        <f t="shared" si="0"/>
        <v>0.72510492178557806</v>
      </c>
      <c r="F4" s="26">
        <v>50.5</v>
      </c>
      <c r="G4" s="28">
        <f t="shared" si="1"/>
        <v>0.25089108910891089</v>
      </c>
      <c r="H4" s="29">
        <v>56.5</v>
      </c>
      <c r="I4" s="28">
        <f t="shared" ref="I4:I13" si="3">F4/H4</f>
        <v>0.89380530973451322</v>
      </c>
      <c r="M4" s="2"/>
      <c r="O4" s="5"/>
      <c r="S4" s="5"/>
    </row>
    <row r="5" spans="1:24">
      <c r="A5" s="26" t="s">
        <v>58</v>
      </c>
      <c r="B5" s="26">
        <v>32</v>
      </c>
      <c r="C5" s="26">
        <v>58.75</v>
      </c>
      <c r="D5" s="27">
        <f t="shared" si="2"/>
        <v>0.5446808510638298</v>
      </c>
      <c r="E5" s="28">
        <f t="shared" si="0"/>
        <v>0.92236740968485775</v>
      </c>
      <c r="F5" s="26">
        <v>46</v>
      </c>
      <c r="G5" s="28">
        <f>B5/F5</f>
        <v>0.69565217391304346</v>
      </c>
      <c r="H5" s="29">
        <v>56.5</v>
      </c>
      <c r="I5" s="28">
        <f t="shared" si="3"/>
        <v>0.81415929203539827</v>
      </c>
      <c r="M5" s="2"/>
      <c r="O5" s="5"/>
      <c r="S5" s="5"/>
    </row>
    <row r="6" spans="1:24">
      <c r="A6" s="26" t="s">
        <v>59</v>
      </c>
      <c r="B6" s="26">
        <v>30.5</v>
      </c>
      <c r="C6" s="26">
        <v>51.75</v>
      </c>
      <c r="D6" s="27">
        <f t="shared" si="2"/>
        <v>0.58937198067632846</v>
      </c>
      <c r="E6" s="28">
        <f t="shared" si="0"/>
        <v>1.5822237592944839</v>
      </c>
      <c r="F6" s="26">
        <v>41.75</v>
      </c>
      <c r="G6" s="28">
        <f t="shared" si="1"/>
        <v>0.73053892215568861</v>
      </c>
      <c r="H6" s="29">
        <v>53.5</v>
      </c>
      <c r="I6" s="28">
        <f t="shared" si="3"/>
        <v>0.78037383177570097</v>
      </c>
      <c r="K6" s="5"/>
      <c r="M6" s="2"/>
      <c r="O6" s="5"/>
      <c r="S6" s="5"/>
    </row>
    <row r="7" spans="1:24">
      <c r="A7" s="26" t="s">
        <v>60</v>
      </c>
      <c r="B7" s="26">
        <v>35</v>
      </c>
      <c r="C7" s="26">
        <v>42.5</v>
      </c>
      <c r="D7" s="27">
        <f t="shared" si="2"/>
        <v>0.82352941176470584</v>
      </c>
      <c r="E7" s="28">
        <f t="shared" si="0"/>
        <v>0.95890410958904104</v>
      </c>
      <c r="F7" s="26">
        <v>48.75</v>
      </c>
      <c r="G7" s="28">
        <f t="shared" si="1"/>
        <v>0.71794871794871795</v>
      </c>
      <c r="H7" s="29">
        <v>53.5</v>
      </c>
      <c r="I7" s="28">
        <f t="shared" si="3"/>
        <v>0.91121495327102808</v>
      </c>
      <c r="K7" s="5"/>
      <c r="M7" s="2"/>
      <c r="O7" s="5"/>
      <c r="S7" s="5"/>
    </row>
    <row r="8" spans="1:24">
      <c r="A8" s="26" t="s">
        <v>61</v>
      </c>
      <c r="B8" s="26">
        <v>59.35</v>
      </c>
      <c r="C8" s="26">
        <v>67.349999999999994</v>
      </c>
      <c r="D8" s="27">
        <f t="shared" si="2"/>
        <v>0.88121752041573875</v>
      </c>
      <c r="E8" s="28">
        <f t="shared" si="0"/>
        <v>1.1789048533403961</v>
      </c>
      <c r="F8" s="26">
        <v>52</v>
      </c>
      <c r="G8" s="28">
        <f t="shared" ref="G8:G13" si="4">B8/F8</f>
        <v>1.1413461538461538</v>
      </c>
      <c r="H8" s="29">
        <v>51.5</v>
      </c>
      <c r="I8" s="28">
        <f t="shared" si="3"/>
        <v>1.0097087378640777</v>
      </c>
      <c r="K8" s="5"/>
      <c r="M8" s="2"/>
      <c r="O8" s="5"/>
      <c r="S8" s="5"/>
    </row>
    <row r="9" spans="1:24">
      <c r="A9" s="26" t="s">
        <v>62</v>
      </c>
      <c r="B9" s="26">
        <v>68.75</v>
      </c>
      <c r="C9" s="26">
        <v>67.75</v>
      </c>
      <c r="D9" s="27">
        <f t="shared" si="2"/>
        <v>1.014760147601476</v>
      </c>
      <c r="E9" s="28">
        <f t="shared" si="0"/>
        <v>1.2884182908545729</v>
      </c>
      <c r="F9" s="26">
        <v>54</v>
      </c>
      <c r="G9" s="28">
        <f t="shared" si="4"/>
        <v>1.2731481481481481</v>
      </c>
      <c r="H9" s="29">
        <v>55</v>
      </c>
      <c r="I9" s="28">
        <f t="shared" si="3"/>
        <v>0.98181818181818181</v>
      </c>
      <c r="K9" s="5"/>
      <c r="M9" s="2"/>
      <c r="O9" s="5"/>
      <c r="S9" s="5"/>
    </row>
    <row r="10" spans="1:24">
      <c r="A10" s="26" t="s">
        <v>63</v>
      </c>
      <c r="B10" s="26">
        <v>41.17</v>
      </c>
      <c r="C10" s="26">
        <v>46.17</v>
      </c>
      <c r="D10" s="27">
        <f t="shared" si="2"/>
        <v>0.89170457006714321</v>
      </c>
      <c r="E10" s="28">
        <f t="shared" si="0"/>
        <v>1.2118328100470956</v>
      </c>
      <c r="F10" s="26">
        <v>62</v>
      </c>
      <c r="G10" s="28">
        <f t="shared" si="4"/>
        <v>0.66403225806451616</v>
      </c>
      <c r="H10" s="29">
        <v>52</v>
      </c>
      <c r="I10" s="28">
        <f t="shared" si="3"/>
        <v>1.1923076923076923</v>
      </c>
      <c r="K10" s="5"/>
      <c r="M10" s="2"/>
      <c r="O10" s="5"/>
      <c r="S10" s="5"/>
    </row>
    <row r="11" spans="1:24">
      <c r="A11" s="26" t="s">
        <v>64</v>
      </c>
      <c r="B11" s="26">
        <v>41</v>
      </c>
      <c r="C11" s="26">
        <v>37</v>
      </c>
      <c r="D11" s="27">
        <f t="shared" si="2"/>
        <v>1.1081081081081081</v>
      </c>
      <c r="E11" s="28">
        <f t="shared" si="0"/>
        <v>0.84536082474226804</v>
      </c>
      <c r="F11" s="26">
        <v>57.25</v>
      </c>
      <c r="G11" s="28">
        <f t="shared" si="4"/>
        <v>0.71615720524017468</v>
      </c>
      <c r="H11" s="29">
        <v>55</v>
      </c>
      <c r="I11" s="28">
        <f t="shared" si="3"/>
        <v>1.040909090909091</v>
      </c>
      <c r="K11" s="5"/>
      <c r="M11" s="2"/>
      <c r="O11" s="5"/>
      <c r="S11" s="5"/>
    </row>
    <row r="12" spans="1:24">
      <c r="A12" s="26" t="s">
        <v>65</v>
      </c>
      <c r="B12" s="26">
        <v>56</v>
      </c>
      <c r="C12" s="26">
        <v>67</v>
      </c>
      <c r="D12" s="27">
        <f>B12/C12</f>
        <v>0.83582089552238803</v>
      </c>
      <c r="E12" s="28">
        <f>B12/$B$188</f>
        <v>1.0434134525805849</v>
      </c>
      <c r="F12" s="26">
        <v>63.5</v>
      </c>
      <c r="G12" s="28">
        <f t="shared" si="4"/>
        <v>0.88188976377952755</v>
      </c>
      <c r="H12" s="29">
        <v>55</v>
      </c>
      <c r="I12" s="28">
        <f t="shared" si="3"/>
        <v>1.1545454545454545</v>
      </c>
      <c r="K12" s="5"/>
      <c r="M12" s="2"/>
      <c r="O12" s="5"/>
      <c r="S12" s="5"/>
    </row>
    <row r="13" spans="1:24">
      <c r="A13" s="26" t="str">
        <f>Sheet2!G3</f>
        <v>33 (06.06 - 19.06)</v>
      </c>
      <c r="B13" s="26">
        <v>58.5</v>
      </c>
      <c r="C13" s="26">
        <v>57.5</v>
      </c>
      <c r="D13" s="27">
        <f>B13/C13</f>
        <v>1.017391304347826</v>
      </c>
      <c r="E13" s="28">
        <f>B13/$B$189</f>
        <v>1.6363636363636365</v>
      </c>
      <c r="F13" s="26">
        <v>57.5</v>
      </c>
      <c r="G13" s="28">
        <f t="shared" si="4"/>
        <v>1.017391304347826</v>
      </c>
      <c r="H13" s="29">
        <v>42.4</v>
      </c>
      <c r="I13" s="28">
        <f t="shared" si="3"/>
        <v>1.3561320754716981</v>
      </c>
      <c r="K13" s="5"/>
      <c r="M13" s="2"/>
      <c r="O13" s="5"/>
      <c r="S13" s="5"/>
    </row>
    <row r="14" spans="1:24">
      <c r="A14" s="30"/>
      <c r="B14" s="30"/>
      <c r="C14" s="30"/>
      <c r="D14" s="31"/>
      <c r="E14" s="31"/>
      <c r="F14" s="32"/>
      <c r="G14" s="31"/>
      <c r="H14" s="30"/>
      <c r="I14" s="31"/>
      <c r="K14" s="5"/>
      <c r="M14" s="2"/>
      <c r="O14" s="5"/>
      <c r="S14" s="5"/>
    </row>
    <row r="15" spans="1:24">
      <c r="D15" s="6"/>
      <c r="E15" s="6"/>
      <c r="F15" s="9"/>
      <c r="G15" s="6"/>
      <c r="I15" s="6"/>
      <c r="K15" s="5"/>
      <c r="M15" s="2"/>
      <c r="O15" s="5"/>
      <c r="S15" s="5"/>
    </row>
    <row r="16" spans="1:24">
      <c r="D16" s="3"/>
      <c r="E16" s="3"/>
      <c r="G16" s="3"/>
      <c r="I16" s="3"/>
      <c r="M16" s="2"/>
    </row>
    <row r="17" spans="1:13">
      <c r="M17" s="2"/>
    </row>
    <row r="18" spans="1:13" ht="17.100000000000001" customHeight="1">
      <c r="A18" s="53" t="s">
        <v>16</v>
      </c>
      <c r="B18" s="53" t="s">
        <v>16</v>
      </c>
      <c r="C18" s="53"/>
      <c r="D18" s="53"/>
      <c r="E18" s="53"/>
      <c r="F18" s="53"/>
      <c r="G18" s="53"/>
      <c r="H18" s="53"/>
      <c r="I18" s="53"/>
      <c r="M18" s="2"/>
    </row>
    <row r="19" spans="1:13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 t="s">
        <v>66</v>
      </c>
      <c r="H19" t="s">
        <v>10</v>
      </c>
      <c r="I19" t="s">
        <v>55</v>
      </c>
    </row>
    <row r="20" spans="1:13">
      <c r="A20" t="s">
        <v>56</v>
      </c>
      <c r="B20">
        <v>18.5</v>
      </c>
      <c r="C20">
        <v>39.17</v>
      </c>
      <c r="D20" s="5"/>
      <c r="E20" s="3">
        <f t="shared" ref="E20:E25" si="5">B20/B179</f>
        <v>0.57963446475195823</v>
      </c>
      <c r="F20">
        <v>39</v>
      </c>
      <c r="G20" s="3"/>
      <c r="H20">
        <v>33.5</v>
      </c>
      <c r="I20" s="3">
        <f>F20/H20</f>
        <v>1.164179104477612</v>
      </c>
    </row>
    <row r="21" spans="1:13">
      <c r="A21" t="s">
        <v>57</v>
      </c>
      <c r="B21">
        <v>17.75</v>
      </c>
      <c r="C21">
        <v>45.75</v>
      </c>
      <c r="D21" s="5"/>
      <c r="E21" s="3">
        <f t="shared" si="5"/>
        <v>1.0158336512781381</v>
      </c>
      <c r="F21">
        <v>58.5</v>
      </c>
      <c r="G21" s="3"/>
      <c r="H21">
        <v>56.5</v>
      </c>
      <c r="I21" s="3">
        <f t="shared" ref="I21:I30" si="6">F21/H21</f>
        <v>1.0353982300884956</v>
      </c>
    </row>
    <row r="22" spans="1:13">
      <c r="A22" t="s">
        <v>58</v>
      </c>
      <c r="B22">
        <v>44.33</v>
      </c>
      <c r="C22">
        <v>57.33</v>
      </c>
      <c r="D22" s="5"/>
      <c r="E22" s="3">
        <f t="shared" si="5"/>
        <v>1.2777671022290544</v>
      </c>
      <c r="F22">
        <v>48.5</v>
      </c>
      <c r="G22" s="3"/>
      <c r="H22">
        <v>56.5</v>
      </c>
      <c r="I22" s="3">
        <f t="shared" si="6"/>
        <v>0.8584070796460177</v>
      </c>
    </row>
    <row r="23" spans="1:13">
      <c r="A23" t="s">
        <v>67</v>
      </c>
      <c r="B23">
        <v>23.33</v>
      </c>
      <c r="C23">
        <v>39.67</v>
      </c>
      <c r="D23" s="5"/>
      <c r="E23" s="3">
        <f t="shared" si="5"/>
        <v>1.2102714853882066</v>
      </c>
      <c r="F23">
        <v>46.25</v>
      </c>
      <c r="G23" s="3"/>
      <c r="H23">
        <v>53.5</v>
      </c>
      <c r="I23" s="3">
        <f t="shared" si="6"/>
        <v>0.86448598130841126</v>
      </c>
    </row>
    <row r="24" spans="1:13">
      <c r="A24" t="s">
        <v>60</v>
      </c>
      <c r="B24">
        <v>43.5</v>
      </c>
      <c r="C24">
        <v>59.5</v>
      </c>
      <c r="D24" s="5"/>
      <c r="E24" s="3">
        <f t="shared" si="5"/>
        <v>1.1917808219178083</v>
      </c>
      <c r="F24">
        <v>40.25</v>
      </c>
      <c r="G24" s="3"/>
      <c r="H24">
        <v>38</v>
      </c>
      <c r="I24" s="3">
        <f t="shared" si="6"/>
        <v>1.0592105263157894</v>
      </c>
    </row>
    <row r="25" spans="1:13">
      <c r="A25" t="s">
        <v>61</v>
      </c>
      <c r="B25">
        <v>45</v>
      </c>
      <c r="C25">
        <v>60</v>
      </c>
      <c r="D25" s="5"/>
      <c r="E25" s="3">
        <f t="shared" si="5"/>
        <v>0.89386214659339203</v>
      </c>
      <c r="F25">
        <v>41.25</v>
      </c>
      <c r="G25" s="3"/>
      <c r="H25">
        <v>38</v>
      </c>
      <c r="I25" s="3">
        <f t="shared" si="6"/>
        <v>1.0855263157894737</v>
      </c>
    </row>
    <row r="26" spans="1:13">
      <c r="A26" t="s">
        <v>62</v>
      </c>
      <c r="B26">
        <v>53.58</v>
      </c>
      <c r="C26">
        <v>57.58</v>
      </c>
      <c r="D26" s="5"/>
      <c r="E26" s="3">
        <f t="shared" ref="E26:E43" si="7">B26/$B185</f>
        <v>1.0041229385307346</v>
      </c>
      <c r="F26">
        <v>48.25</v>
      </c>
      <c r="G26" s="3"/>
      <c r="H26">
        <v>39.5</v>
      </c>
      <c r="I26" s="3">
        <f t="shared" si="6"/>
        <v>1.2215189873417722</v>
      </c>
    </row>
    <row r="27" spans="1:13">
      <c r="A27" t="s">
        <v>63</v>
      </c>
      <c r="B27">
        <v>28.5</v>
      </c>
      <c r="C27">
        <v>46</v>
      </c>
      <c r="D27" s="5"/>
      <c r="E27" s="3">
        <f t="shared" si="7"/>
        <v>0.8388932496075352</v>
      </c>
      <c r="F27">
        <v>46.25</v>
      </c>
      <c r="G27" s="3"/>
      <c r="H27">
        <v>39.5</v>
      </c>
      <c r="I27" s="3">
        <f t="shared" si="6"/>
        <v>1.1708860759493671</v>
      </c>
    </row>
    <row r="28" spans="1:13">
      <c r="A28" t="s">
        <v>64</v>
      </c>
      <c r="B28">
        <v>42.5</v>
      </c>
      <c r="C28">
        <v>35.5</v>
      </c>
      <c r="D28" s="5"/>
      <c r="E28" s="3">
        <f t="shared" si="7"/>
        <v>0.87628865979381443</v>
      </c>
      <c r="F28">
        <v>45.5</v>
      </c>
      <c r="G28" s="3"/>
      <c r="H28">
        <v>39.5</v>
      </c>
      <c r="I28" s="3">
        <f t="shared" si="6"/>
        <v>1.1518987341772151</v>
      </c>
    </row>
    <row r="29" spans="1:13">
      <c r="A29" t="s">
        <v>65</v>
      </c>
      <c r="B29">
        <v>53.67</v>
      </c>
      <c r="C29">
        <v>65.67</v>
      </c>
      <c r="D29" s="5"/>
      <c r="E29" s="3">
        <f t="shared" si="7"/>
        <v>0.99999999999999989</v>
      </c>
      <c r="F29">
        <v>40.75</v>
      </c>
      <c r="G29" s="3"/>
      <c r="H29" s="9">
        <v>39.5</v>
      </c>
      <c r="I29" s="3">
        <f t="shared" si="6"/>
        <v>1.0316455696202531</v>
      </c>
    </row>
    <row r="30" spans="1:13">
      <c r="A30" s="24" t="str">
        <f>Sheet2!G3</f>
        <v>33 (06.06 - 19.06)</v>
      </c>
      <c r="B30">
        <v>38.25</v>
      </c>
      <c r="C30">
        <v>43</v>
      </c>
      <c r="D30" s="5"/>
      <c r="E30" s="3">
        <f t="shared" si="7"/>
        <v>1.06993006993007</v>
      </c>
      <c r="F30">
        <v>34</v>
      </c>
      <c r="G30" s="3"/>
      <c r="H30" s="9">
        <v>31.9</v>
      </c>
      <c r="I30" s="3">
        <f t="shared" si="6"/>
        <v>1.0658307210031348</v>
      </c>
    </row>
    <row r="31" spans="1:13">
      <c r="A31" s="24" t="str">
        <f>Sheet2!G4</f>
        <v>34 (20.06 - 03.07)</v>
      </c>
      <c r="B31">
        <v>39</v>
      </c>
      <c r="C31">
        <v>57</v>
      </c>
      <c r="D31" s="5">
        <f>B31/C31</f>
        <v>0.68421052631578949</v>
      </c>
      <c r="E31" s="3">
        <f t="shared" si="7"/>
        <v>0.98734177215189878</v>
      </c>
      <c r="F31">
        <f>68-9.5-3</f>
        <v>55.5</v>
      </c>
      <c r="G31" s="3">
        <f t="shared" ref="G31:G34" si="8">B31/F31</f>
        <v>0.70270270270270274</v>
      </c>
      <c r="H31" s="9">
        <v>50.5</v>
      </c>
      <c r="I31" s="3">
        <f t="shared" ref="I31:I43" si="9">F31/H31</f>
        <v>1.0990099009900991</v>
      </c>
    </row>
    <row r="32" spans="1:13">
      <c r="A32" s="24" t="str">
        <f>Sheet2!G5</f>
        <v>35 (04.07 - 17.07)</v>
      </c>
      <c r="B32">
        <v>47</v>
      </c>
      <c r="C32">
        <v>54</v>
      </c>
      <c r="D32" s="5">
        <f t="shared" ref="D32:D41" si="10">B32/C32</f>
        <v>0.87037037037037035</v>
      </c>
      <c r="E32" s="3">
        <f t="shared" si="7"/>
        <v>0.96575342465753433</v>
      </c>
      <c r="F32">
        <v>52.5</v>
      </c>
      <c r="G32" s="3">
        <f t="shared" si="8"/>
        <v>0.89523809523809528</v>
      </c>
      <c r="H32" s="9">
        <v>51</v>
      </c>
      <c r="I32" s="3">
        <f t="shared" si="9"/>
        <v>1.0294117647058822</v>
      </c>
    </row>
    <row r="33" spans="1:9">
      <c r="A33" s="24" t="str">
        <f>Sheet2!G6</f>
        <v>36 (18.07 - 31.07)</v>
      </c>
      <c r="B33">
        <v>40.5</v>
      </c>
      <c r="C33">
        <v>45</v>
      </c>
      <c r="D33" s="5">
        <f t="shared" si="10"/>
        <v>0.9</v>
      </c>
      <c r="E33" s="3">
        <f t="shared" si="7"/>
        <v>0.86476868327402134</v>
      </c>
      <c r="F33">
        <v>50.75</v>
      </c>
      <c r="G33" s="3">
        <f t="shared" si="8"/>
        <v>0.79802955665024633</v>
      </c>
      <c r="H33" s="9">
        <v>56</v>
      </c>
      <c r="I33" s="3">
        <f t="shared" si="9"/>
        <v>0.90625</v>
      </c>
    </row>
    <row r="34" spans="1:9">
      <c r="A34" s="24" t="str">
        <f>Sheet2!G7</f>
        <v>37 (01.08 - 14.08)</v>
      </c>
      <c r="B34">
        <v>40.5</v>
      </c>
      <c r="C34">
        <v>64.5</v>
      </c>
      <c r="D34" s="5">
        <f t="shared" si="10"/>
        <v>0.62790697674418605</v>
      </c>
      <c r="E34" s="3">
        <f t="shared" si="7"/>
        <v>0.93822393822393824</v>
      </c>
      <c r="F34">
        <v>47.25</v>
      </c>
      <c r="G34" s="3">
        <f t="shared" si="8"/>
        <v>0.8571428571428571</v>
      </c>
      <c r="H34" s="9">
        <v>48</v>
      </c>
      <c r="I34" s="3">
        <f t="shared" si="9"/>
        <v>0.984375</v>
      </c>
    </row>
    <row r="35" spans="1:9">
      <c r="A35" s="24" t="str">
        <f>Sheet2!G8</f>
        <v>38 (15.08 - 28.08)</v>
      </c>
      <c r="B35">
        <v>48</v>
      </c>
      <c r="C35">
        <v>69</v>
      </c>
      <c r="D35" s="5">
        <f t="shared" si="10"/>
        <v>0.69565217391304346</v>
      </c>
      <c r="E35" s="3">
        <f t="shared" si="7"/>
        <v>0.92307692307692313</v>
      </c>
      <c r="F35">
        <v>42</v>
      </c>
      <c r="G35" s="3">
        <f>B35/F35</f>
        <v>1.1428571428571428</v>
      </c>
      <c r="H35" s="9">
        <v>36</v>
      </c>
      <c r="I35" s="3">
        <f t="shared" si="9"/>
        <v>1.1666666666666667</v>
      </c>
    </row>
    <row r="36" spans="1:9">
      <c r="A36" s="24" t="str">
        <f>Sheet2!G9</f>
        <v>39 (29.08 - 11.09)</v>
      </c>
      <c r="B36">
        <v>51</v>
      </c>
      <c r="C36">
        <v>41</v>
      </c>
      <c r="D36" s="5">
        <f t="shared" si="10"/>
        <v>1.2439024390243902</v>
      </c>
      <c r="E36" s="3">
        <f t="shared" si="7"/>
        <v>1.0712035286704475</v>
      </c>
      <c r="F36">
        <v>48.75</v>
      </c>
      <c r="G36" s="3">
        <f>B36/F36</f>
        <v>1.0461538461538462</v>
      </c>
      <c r="H36" s="9">
        <v>39</v>
      </c>
      <c r="I36" s="3">
        <f t="shared" si="9"/>
        <v>1.25</v>
      </c>
    </row>
    <row r="37" spans="1:9">
      <c r="A37" s="24" t="str">
        <f>Sheet2!G10</f>
        <v>40 (12.09 - 25.09)</v>
      </c>
      <c r="B37">
        <v>46</v>
      </c>
      <c r="C37">
        <v>46</v>
      </c>
      <c r="D37" s="5">
        <f t="shared" si="10"/>
        <v>1</v>
      </c>
      <c r="E37" s="3">
        <f t="shared" si="7"/>
        <v>1.0615384615384615</v>
      </c>
      <c r="F37">
        <v>46.75</v>
      </c>
      <c r="G37" s="3">
        <f>B37/F37</f>
        <v>0.98395721925133695</v>
      </c>
      <c r="H37" s="9">
        <v>41</v>
      </c>
      <c r="I37" s="3">
        <f t="shared" si="9"/>
        <v>1.1402439024390243</v>
      </c>
    </row>
    <row r="38" spans="1:9">
      <c r="A38" s="24" t="str">
        <f>Sheet2!G11</f>
        <v>41 (26.09 - 09.10)</v>
      </c>
      <c r="B38">
        <v>64</v>
      </c>
      <c r="C38">
        <v>42</v>
      </c>
      <c r="D38" s="5">
        <f t="shared" si="10"/>
        <v>1.5238095238095237</v>
      </c>
      <c r="E38" s="3">
        <f t="shared" si="7"/>
        <v>1.0666666666666667</v>
      </c>
      <c r="F38">
        <v>55.25</v>
      </c>
      <c r="G38" s="3">
        <f>B38/F38</f>
        <v>1.158371040723982</v>
      </c>
      <c r="H38" s="9">
        <v>55.5</v>
      </c>
      <c r="I38" s="3">
        <f t="shared" si="9"/>
        <v>0.99549549549549554</v>
      </c>
    </row>
    <row r="39" spans="1:9">
      <c r="A39" s="24" t="str">
        <f>Sheet2!G12</f>
        <v>42 (10.10 - 23.10)</v>
      </c>
      <c r="B39">
        <v>45</v>
      </c>
      <c r="C39">
        <v>43</v>
      </c>
      <c r="D39" s="5">
        <f t="shared" si="10"/>
        <v>1.0465116279069768</v>
      </c>
      <c r="E39" s="3">
        <f t="shared" si="7"/>
        <v>0.59734513274336287</v>
      </c>
      <c r="F39">
        <v>55.5</v>
      </c>
      <c r="G39" s="3">
        <f t="shared" ref="G39:G43" si="11">B39/F39</f>
        <v>0.81081081081081086</v>
      </c>
      <c r="H39" s="9">
        <v>42</v>
      </c>
      <c r="I39" s="3">
        <f t="shared" si="9"/>
        <v>1.3214285714285714</v>
      </c>
    </row>
    <row r="40" spans="1:9">
      <c r="A40" s="24" t="str">
        <f>Sheet2!G13</f>
        <v>43 (24.10 - 06.11)</v>
      </c>
      <c r="B40">
        <v>71</v>
      </c>
      <c r="C40">
        <v>60</v>
      </c>
      <c r="D40" s="5">
        <f t="shared" si="10"/>
        <v>1.1833333333333333</v>
      </c>
      <c r="E40" s="3">
        <f t="shared" si="7"/>
        <v>1.2792792792792793</v>
      </c>
      <c r="F40">
        <v>50.75</v>
      </c>
      <c r="G40" s="3">
        <f t="shared" si="11"/>
        <v>1.3990147783251232</v>
      </c>
      <c r="H40" s="9">
        <v>46</v>
      </c>
      <c r="I40" s="3">
        <f t="shared" si="9"/>
        <v>1.1032608695652173</v>
      </c>
    </row>
    <row r="41" spans="1:9">
      <c r="A41" s="24" t="str">
        <f>Sheet2!G14</f>
        <v>44 (07.11 - 20.11)</v>
      </c>
      <c r="B41">
        <v>52</v>
      </c>
      <c r="C41">
        <v>60</v>
      </c>
      <c r="D41" s="5">
        <f t="shared" si="10"/>
        <v>0.8666666666666667</v>
      </c>
      <c r="E41" s="3">
        <f t="shared" si="7"/>
        <v>0.7722772277227723</v>
      </c>
      <c r="F41">
        <v>55.5</v>
      </c>
      <c r="G41" s="3">
        <f t="shared" si="11"/>
        <v>0.93693693693693691</v>
      </c>
      <c r="H41" s="9">
        <v>49</v>
      </c>
      <c r="I41" s="3">
        <f t="shared" si="9"/>
        <v>1.1326530612244898</v>
      </c>
    </row>
    <row r="42" spans="1:9">
      <c r="A42" s="24" t="str">
        <f>Sheet2!G15</f>
        <v>45 (21.11 - 04.12)</v>
      </c>
      <c r="B42">
        <v>89</v>
      </c>
      <c r="C42">
        <v>79</v>
      </c>
      <c r="D42" s="5">
        <f t="shared" ref="D42:D44" si="12">B42/C42</f>
        <v>1.1265822784810127</v>
      </c>
      <c r="E42" s="3">
        <f t="shared" si="7"/>
        <v>1.241860465116279</v>
      </c>
      <c r="F42">
        <v>67.75</v>
      </c>
      <c r="G42" s="3">
        <f t="shared" si="11"/>
        <v>1.3136531365313653</v>
      </c>
      <c r="H42" s="9">
        <v>54</v>
      </c>
      <c r="I42" s="3">
        <f t="shared" si="9"/>
        <v>1.2546296296296295</v>
      </c>
    </row>
    <row r="43" spans="1:9">
      <c r="A43" s="24" t="str">
        <f>Sheet2!G16</f>
        <v>46 (05.12 - 18.12)</v>
      </c>
      <c r="B43">
        <v>64</v>
      </c>
      <c r="C43">
        <v>39</v>
      </c>
      <c r="D43" s="5">
        <f t="shared" si="12"/>
        <v>1.641025641025641</v>
      </c>
      <c r="E43" s="3">
        <f t="shared" si="7"/>
        <v>0.8495575221238939</v>
      </c>
      <c r="F43">
        <v>56.75</v>
      </c>
      <c r="G43" s="3">
        <f t="shared" si="11"/>
        <v>1.1277533039647578</v>
      </c>
      <c r="H43" s="9">
        <v>48</v>
      </c>
      <c r="I43" s="3">
        <f t="shared" si="9"/>
        <v>1.1822916666666667</v>
      </c>
    </row>
    <row r="44" spans="1:9">
      <c r="A44" s="24" t="str">
        <f>Sheet2!G17</f>
        <v>47 (19.12 - 01.01)</v>
      </c>
      <c r="B44">
        <v>36</v>
      </c>
      <c r="C44">
        <v>39</v>
      </c>
      <c r="D44" s="5">
        <f t="shared" si="12"/>
        <v>0.92307692307692313</v>
      </c>
      <c r="E44" s="3"/>
      <c r="G44" s="3"/>
      <c r="H44" s="9"/>
      <c r="I44" s="3"/>
    </row>
    <row r="45" spans="1:9">
      <c r="A45" s="24">
        <v>48</v>
      </c>
      <c r="B45">
        <v>35</v>
      </c>
      <c r="C45">
        <v>56</v>
      </c>
      <c r="D45" s="5"/>
      <c r="E45" s="3"/>
      <c r="G45" s="3"/>
      <c r="H45" s="9"/>
      <c r="I45" s="3"/>
    </row>
    <row r="46" spans="1:9">
      <c r="A46" s="24">
        <v>49</v>
      </c>
      <c r="B46">
        <v>26</v>
      </c>
      <c r="C46">
        <v>61</v>
      </c>
      <c r="D46" s="5"/>
      <c r="E46" s="3"/>
      <c r="G46" s="3"/>
      <c r="H46" s="9"/>
      <c r="I46" s="3"/>
    </row>
    <row r="47" spans="1:9">
      <c r="A47" s="11"/>
      <c r="B47" s="11"/>
      <c r="C47" s="11"/>
      <c r="D47" s="12">
        <f>AVERAGE(D30:D44)</f>
        <v>1.0237891771905612</v>
      </c>
      <c r="E47" s="12">
        <f>AVERAGE(E20:E43)</f>
        <v>0.98238656730275808</v>
      </c>
      <c r="F47" s="12"/>
      <c r="G47" s="12">
        <f>AVERAGE(G30:G43)</f>
        <v>1.0132785713299386</v>
      </c>
      <c r="H47" s="12"/>
      <c r="I47" s="12">
        <f>AVERAGE(I20:I43)</f>
        <v>1.0947793272720538</v>
      </c>
    </row>
    <row r="48" spans="1:9">
      <c r="D48" s="3"/>
      <c r="E48" s="3"/>
      <c r="G48" s="3"/>
      <c r="I48" s="3"/>
    </row>
    <row r="51" spans="1:9">
      <c r="A51" s="53" t="s">
        <v>18</v>
      </c>
      <c r="B51" s="53" t="s">
        <v>18</v>
      </c>
      <c r="C51" s="53"/>
      <c r="D51" s="53"/>
      <c r="E51" s="53"/>
      <c r="F51" s="53"/>
      <c r="G51" s="53"/>
      <c r="H51" s="53"/>
      <c r="I51" s="53"/>
    </row>
    <row r="52" spans="1:9">
      <c r="A52" t="s">
        <v>48</v>
      </c>
      <c r="B52" t="s">
        <v>49</v>
      </c>
      <c r="C52" t="s">
        <v>50</v>
      </c>
      <c r="D52" t="s">
        <v>51</v>
      </c>
      <c r="E52" t="s">
        <v>52</v>
      </c>
      <c r="F52" t="s">
        <v>53</v>
      </c>
      <c r="G52" t="s">
        <v>66</v>
      </c>
      <c r="H52" t="s">
        <v>10</v>
      </c>
      <c r="I52" t="s">
        <v>55</v>
      </c>
    </row>
    <row r="53" spans="1:9">
      <c r="A53" t="s">
        <v>56</v>
      </c>
      <c r="B53">
        <v>30.5</v>
      </c>
      <c r="C53">
        <v>37</v>
      </c>
      <c r="D53" s="5"/>
      <c r="E53" s="3">
        <f t="shared" ref="E53:E61" si="13">B53/B179</f>
        <v>0.95561357702349869</v>
      </c>
      <c r="F53">
        <v>32</v>
      </c>
      <c r="G53" s="3"/>
      <c r="H53">
        <v>43.5</v>
      </c>
      <c r="I53" s="3">
        <f>F53/H53</f>
        <v>0.73563218390804597</v>
      </c>
    </row>
    <row r="54" spans="1:9">
      <c r="A54" t="s">
        <v>57</v>
      </c>
      <c r="B54">
        <v>22</v>
      </c>
      <c r="C54">
        <v>32</v>
      </c>
      <c r="D54" s="5"/>
      <c r="E54" s="3">
        <f t="shared" si="13"/>
        <v>1.2590614269362839</v>
      </c>
      <c r="F54">
        <v>45</v>
      </c>
      <c r="G54" s="3"/>
      <c r="H54">
        <v>56.5</v>
      </c>
      <c r="I54" s="3">
        <f t="shared" ref="I54:I69" si="14">F54/H54</f>
        <v>0.79646017699115046</v>
      </c>
    </row>
    <row r="55" spans="1:9">
      <c r="A55" t="s">
        <v>58</v>
      </c>
      <c r="B55">
        <v>27.75</v>
      </c>
      <c r="C55">
        <v>38.33</v>
      </c>
      <c r="D55" s="5"/>
      <c r="E55" s="3">
        <f t="shared" si="13"/>
        <v>0.79986548808608759</v>
      </c>
      <c r="F55">
        <v>34.25</v>
      </c>
      <c r="G55" s="3"/>
      <c r="H55">
        <v>56.5</v>
      </c>
      <c r="I55" s="3">
        <f t="shared" si="14"/>
        <v>0.60619469026548678</v>
      </c>
    </row>
    <row r="56" spans="1:9">
      <c r="A56" t="s">
        <v>67</v>
      </c>
      <c r="B56">
        <v>0</v>
      </c>
      <c r="C56">
        <v>10.58</v>
      </c>
      <c r="D56" s="5"/>
      <c r="E56" s="3">
        <f t="shared" si="13"/>
        <v>0</v>
      </c>
      <c r="F56">
        <v>21.75</v>
      </c>
      <c r="G56" s="3"/>
      <c r="H56">
        <v>23</v>
      </c>
      <c r="I56" s="3">
        <f t="shared" si="14"/>
        <v>0.94565217391304346</v>
      </c>
    </row>
    <row r="57" spans="1:9">
      <c r="A57" t="s">
        <v>60</v>
      </c>
      <c r="B57">
        <v>31</v>
      </c>
      <c r="C57">
        <v>43</v>
      </c>
      <c r="D57" s="5"/>
      <c r="E57" s="3">
        <f t="shared" si="13"/>
        <v>0.84931506849315064</v>
      </c>
      <c r="F57">
        <v>38.75</v>
      </c>
      <c r="G57" s="3"/>
      <c r="H57">
        <v>53.5</v>
      </c>
      <c r="I57" s="3">
        <f t="shared" si="14"/>
        <v>0.72429906542056077</v>
      </c>
    </row>
    <row r="58" spans="1:9">
      <c r="A58" t="s">
        <v>61</v>
      </c>
      <c r="B58">
        <v>46.68</v>
      </c>
      <c r="C58">
        <v>50.68</v>
      </c>
      <c r="D58" s="5"/>
      <c r="E58" s="3">
        <f t="shared" si="13"/>
        <v>0.92723300006621201</v>
      </c>
      <c r="F58">
        <v>46.25</v>
      </c>
      <c r="G58" s="3"/>
      <c r="H58">
        <v>46.5</v>
      </c>
      <c r="I58" s="3">
        <f t="shared" si="14"/>
        <v>0.9946236559139785</v>
      </c>
    </row>
    <row r="59" spans="1:9">
      <c r="A59" t="s">
        <v>62</v>
      </c>
      <c r="B59">
        <v>37.75</v>
      </c>
      <c r="C59">
        <v>44</v>
      </c>
      <c r="D59" s="5"/>
      <c r="E59" s="3">
        <f t="shared" si="13"/>
        <v>0.70745877061469276</v>
      </c>
      <c r="F59">
        <v>46.17</v>
      </c>
      <c r="G59" s="3"/>
      <c r="H59">
        <v>55</v>
      </c>
      <c r="I59" s="3">
        <f t="shared" si="14"/>
        <v>0.83945454545454545</v>
      </c>
    </row>
    <row r="60" spans="1:9">
      <c r="A60" t="s">
        <v>63</v>
      </c>
      <c r="B60">
        <v>32.25</v>
      </c>
      <c r="C60">
        <v>58.85</v>
      </c>
      <c r="D60" s="5"/>
      <c r="E60" s="3">
        <f t="shared" si="13"/>
        <v>0.94927394034536883</v>
      </c>
      <c r="F60">
        <v>54.75</v>
      </c>
      <c r="G60" s="3"/>
      <c r="H60">
        <v>52</v>
      </c>
      <c r="I60" s="3">
        <f t="shared" si="14"/>
        <v>1.0528846153846154</v>
      </c>
    </row>
    <row r="61" spans="1:9">
      <c r="A61" t="s">
        <v>64</v>
      </c>
      <c r="B61">
        <v>48.5</v>
      </c>
      <c r="C61">
        <v>48.6</v>
      </c>
      <c r="D61" s="5"/>
      <c r="E61" s="3">
        <f t="shared" si="13"/>
        <v>1</v>
      </c>
      <c r="F61">
        <v>53.5</v>
      </c>
      <c r="G61" s="3"/>
      <c r="H61">
        <v>53.5</v>
      </c>
      <c r="I61" s="3">
        <f t="shared" si="14"/>
        <v>1</v>
      </c>
    </row>
    <row r="62" spans="1:9">
      <c r="A62" t="s">
        <v>65</v>
      </c>
      <c r="B62">
        <v>30.85</v>
      </c>
      <c r="C62">
        <v>36.85</v>
      </c>
      <c r="D62" s="5"/>
      <c r="E62" s="3">
        <f>B62/$B$188</f>
        <v>0.57480901807341156</v>
      </c>
      <c r="F62">
        <v>39.25</v>
      </c>
      <c r="G62" s="3"/>
      <c r="H62" s="9">
        <v>51.5</v>
      </c>
      <c r="I62" s="3">
        <f t="shared" si="14"/>
        <v>0.76213592233009708</v>
      </c>
    </row>
    <row r="63" spans="1:9">
      <c r="A63" s="24" t="str">
        <f>Sheet2!G3</f>
        <v>33 (06.06 - 19.06)</v>
      </c>
      <c r="B63">
        <v>8</v>
      </c>
      <c r="C63">
        <v>30</v>
      </c>
      <c r="D63" s="5"/>
      <c r="E63" s="3">
        <f>B63/$B$189</f>
        <v>0.22377622377622378</v>
      </c>
      <c r="F63">
        <v>29.25</v>
      </c>
      <c r="G63" s="3"/>
      <c r="H63" s="9">
        <v>44.3</v>
      </c>
      <c r="I63" s="3">
        <f t="shared" si="14"/>
        <v>0.66027088036117387</v>
      </c>
    </row>
    <row r="64" spans="1:9">
      <c r="A64" s="24" t="str">
        <f>Sheet2!G4</f>
        <v>34 (20.06 - 03.07)</v>
      </c>
      <c r="B64">
        <v>40</v>
      </c>
      <c r="C64">
        <v>60</v>
      </c>
      <c r="D64" s="5">
        <f t="shared" ref="D64" si="15">B64/C64</f>
        <v>0.66666666666666663</v>
      </c>
      <c r="E64" s="3">
        <f>B64/$B$190</f>
        <v>1.0126582278481013</v>
      </c>
      <c r="F64">
        <f>79.75-9.25-0.75</f>
        <v>69.75</v>
      </c>
      <c r="G64" s="3">
        <f>B64/F64</f>
        <v>0.57347670250896055</v>
      </c>
      <c r="H64" s="9">
        <v>56.5</v>
      </c>
      <c r="I64" s="3">
        <f t="shared" si="14"/>
        <v>1.2345132743362832</v>
      </c>
    </row>
    <row r="65" spans="1:12">
      <c r="A65" s="24" t="str">
        <f>Sheet2!G5</f>
        <v>35 (04.07 - 17.07)</v>
      </c>
      <c r="B65">
        <v>54</v>
      </c>
      <c r="C65">
        <v>71</v>
      </c>
      <c r="D65" s="5">
        <f t="shared" ref="D65:D77" si="16">B65/C65</f>
        <v>0.76056338028169013</v>
      </c>
      <c r="E65" s="3">
        <f>B65/$B$191</f>
        <v>1.1095890410958904</v>
      </c>
      <c r="F65">
        <v>55.5</v>
      </c>
      <c r="G65" s="3">
        <f>B65/F65</f>
        <v>0.97297297297297303</v>
      </c>
      <c r="H65" s="9">
        <v>53</v>
      </c>
      <c r="I65" s="3">
        <f t="shared" si="14"/>
        <v>1.0471698113207548</v>
      </c>
    </row>
    <row r="66" spans="1:12">
      <c r="A66" s="24" t="str">
        <f>Sheet2!G6</f>
        <v>36 (18.07 - 31.07)</v>
      </c>
      <c r="B66">
        <v>66</v>
      </c>
      <c r="C66">
        <v>66</v>
      </c>
      <c r="D66" s="5">
        <f t="shared" si="16"/>
        <v>1</v>
      </c>
      <c r="E66" s="3">
        <f t="shared" ref="E66:E76" si="17">B66/$B192</f>
        <v>1.4092526690391458</v>
      </c>
      <c r="F66">
        <v>55.25</v>
      </c>
      <c r="G66" s="3">
        <f t="shared" ref="G66:G69" si="18">B66/F66</f>
        <v>1.1945701357466063</v>
      </c>
      <c r="H66" s="9">
        <v>56</v>
      </c>
      <c r="I66" s="3">
        <f t="shared" si="14"/>
        <v>0.9866071428571429</v>
      </c>
    </row>
    <row r="67" spans="1:12">
      <c r="A67" s="24" t="str">
        <f>Sheet2!G7</f>
        <v>37 (01.08 - 14.08)</v>
      </c>
      <c r="B67">
        <v>29</v>
      </c>
      <c r="C67">
        <v>46</v>
      </c>
      <c r="D67" s="5">
        <f t="shared" si="16"/>
        <v>0.63043478260869568</v>
      </c>
      <c r="E67" s="3">
        <f t="shared" si="17"/>
        <v>0.6718146718146718</v>
      </c>
      <c r="F67">
        <v>49.25</v>
      </c>
      <c r="G67" s="3">
        <f t="shared" si="18"/>
        <v>0.58883248730964466</v>
      </c>
      <c r="H67" s="9">
        <v>44</v>
      </c>
      <c r="I67" s="3">
        <f t="shared" si="14"/>
        <v>1.1193181818181819</v>
      </c>
    </row>
    <row r="68" spans="1:12">
      <c r="A68" s="24" t="str">
        <f>Sheet2!G8</f>
        <v>38 (15.08 - 28.08)</v>
      </c>
      <c r="B68">
        <v>40</v>
      </c>
      <c r="C68">
        <v>64</v>
      </c>
      <c r="D68" s="5">
        <f t="shared" si="16"/>
        <v>0.625</v>
      </c>
      <c r="E68" s="3">
        <f t="shared" si="17"/>
        <v>0.76923076923076927</v>
      </c>
      <c r="F68">
        <v>48.25</v>
      </c>
      <c r="G68" s="3">
        <f t="shared" si="18"/>
        <v>0.82901554404145072</v>
      </c>
      <c r="H68" s="9">
        <v>40</v>
      </c>
      <c r="I68" s="3">
        <f t="shared" si="14"/>
        <v>1.20625</v>
      </c>
    </row>
    <row r="69" spans="1:12">
      <c r="A69" s="24" t="str">
        <f>Sheet2!G9</f>
        <v>39 (29.08 - 11.09)</v>
      </c>
      <c r="B69">
        <v>36</v>
      </c>
      <c r="C69">
        <v>36</v>
      </c>
      <c r="D69" s="5">
        <f t="shared" si="16"/>
        <v>1</v>
      </c>
      <c r="E69" s="3">
        <f t="shared" si="17"/>
        <v>0.7561436672967865</v>
      </c>
      <c r="F69">
        <v>53.75</v>
      </c>
      <c r="G69" s="3">
        <f t="shared" si="18"/>
        <v>0.66976744186046511</v>
      </c>
      <c r="H69" s="9">
        <v>42</v>
      </c>
      <c r="I69" s="3">
        <f t="shared" si="14"/>
        <v>1.2797619047619047</v>
      </c>
    </row>
    <row r="70" spans="1:12">
      <c r="A70" s="24" t="str">
        <f>Sheet2!G10</f>
        <v>40 (12.09 - 25.09)</v>
      </c>
      <c r="B70">
        <v>46</v>
      </c>
      <c r="C70">
        <v>46</v>
      </c>
      <c r="D70" s="5">
        <f t="shared" si="16"/>
        <v>1</v>
      </c>
      <c r="E70" s="3">
        <f t="shared" si="17"/>
        <v>1.0615384615384615</v>
      </c>
      <c r="F70">
        <v>50.08</v>
      </c>
      <c r="G70" s="3">
        <f>B70/F70</f>
        <v>0.91853035143769968</v>
      </c>
      <c r="H70" s="9">
        <v>39</v>
      </c>
      <c r="I70" s="3">
        <f>F70/H70</f>
        <v>1.2841025641025641</v>
      </c>
    </row>
    <row r="71" spans="1:12">
      <c r="A71" s="24" t="str">
        <f>Sheet2!G11</f>
        <v>41 (26.09 - 09.10)</v>
      </c>
      <c r="B71">
        <v>47</v>
      </c>
      <c r="C71">
        <v>40</v>
      </c>
      <c r="D71" s="5">
        <f t="shared" si="16"/>
        <v>1.175</v>
      </c>
      <c r="E71" s="3">
        <f t="shared" si="17"/>
        <v>0.78333333333333333</v>
      </c>
      <c r="F71">
        <v>57.5</v>
      </c>
      <c r="G71" s="3">
        <f>B71/F71</f>
        <v>0.81739130434782614</v>
      </c>
      <c r="H71" s="9">
        <v>54.5</v>
      </c>
      <c r="I71" s="3">
        <f>F71/H71</f>
        <v>1.0550458715596329</v>
      </c>
    </row>
    <row r="72" spans="1:12">
      <c r="A72" s="24" t="str">
        <f>Sheet2!G12</f>
        <v>42 (10.10 - 23.10)</v>
      </c>
      <c r="B72">
        <v>31</v>
      </c>
      <c r="C72">
        <v>45</v>
      </c>
      <c r="D72" s="5">
        <f t="shared" si="16"/>
        <v>0.68888888888888888</v>
      </c>
      <c r="E72" s="3">
        <f t="shared" si="17"/>
        <v>0.41150442477876109</v>
      </c>
      <c r="F72">
        <v>51</v>
      </c>
      <c r="G72" s="3">
        <f t="shared" ref="G72:G76" si="19">B72/F72</f>
        <v>0.60784313725490191</v>
      </c>
      <c r="H72" s="9">
        <v>41</v>
      </c>
      <c r="I72" s="3">
        <f t="shared" ref="I72:I76" si="20">F72/H72</f>
        <v>1.2439024390243902</v>
      </c>
    </row>
    <row r="73" spans="1:12">
      <c r="A73" s="24" t="str">
        <f>Sheet2!G13</f>
        <v>43 (24.10 - 06.11)</v>
      </c>
      <c r="B73">
        <v>51.5</v>
      </c>
      <c r="C73">
        <v>50.5</v>
      </c>
      <c r="D73" s="5">
        <f t="shared" si="16"/>
        <v>1.0198019801980198</v>
      </c>
      <c r="E73" s="3">
        <f t="shared" si="17"/>
        <v>0.92792792792792789</v>
      </c>
      <c r="F73">
        <v>47</v>
      </c>
      <c r="G73" s="3">
        <f t="shared" si="19"/>
        <v>1.0957446808510638</v>
      </c>
      <c r="H73" s="9">
        <v>45</v>
      </c>
      <c r="I73" s="3">
        <f t="shared" si="20"/>
        <v>1.0444444444444445</v>
      </c>
    </row>
    <row r="74" spans="1:12">
      <c r="A74" s="24" t="str">
        <f>Sheet2!G14</f>
        <v>44 (07.11 - 20.11)</v>
      </c>
      <c r="B74">
        <v>37.17</v>
      </c>
      <c r="C74">
        <v>47.17</v>
      </c>
      <c r="D74" s="5">
        <f t="shared" si="16"/>
        <v>0.78800084799660797</v>
      </c>
      <c r="E74" s="3">
        <f t="shared" si="17"/>
        <v>0.55202970297029708</v>
      </c>
      <c r="F74">
        <v>51.75</v>
      </c>
      <c r="G74" s="3">
        <f t="shared" si="19"/>
        <v>0.7182608695652174</v>
      </c>
      <c r="H74" s="9">
        <v>53.5</v>
      </c>
      <c r="I74" s="3">
        <f t="shared" si="20"/>
        <v>0.96728971962616828</v>
      </c>
    </row>
    <row r="75" spans="1:12">
      <c r="A75" s="24" t="str">
        <f>Sheet2!G15</f>
        <v>45 (21.11 - 04.12)</v>
      </c>
      <c r="B75">
        <v>38</v>
      </c>
      <c r="C75">
        <v>23</v>
      </c>
      <c r="D75" s="5">
        <f t="shared" si="16"/>
        <v>1.6521739130434783</v>
      </c>
      <c r="E75" s="3">
        <f t="shared" si="17"/>
        <v>0.53023255813953485</v>
      </c>
      <c r="F75">
        <v>50</v>
      </c>
      <c r="G75" s="3">
        <f t="shared" si="19"/>
        <v>0.76</v>
      </c>
      <c r="H75" s="9">
        <v>37.5</v>
      </c>
      <c r="I75" s="3">
        <f t="shared" si="20"/>
        <v>1.3333333333333333</v>
      </c>
    </row>
    <row r="76" spans="1:12">
      <c r="A76" s="24" t="str">
        <f>Sheet2!G16</f>
        <v>46 (05.12 - 18.12)</v>
      </c>
      <c r="B76">
        <v>26</v>
      </c>
      <c r="C76">
        <v>33</v>
      </c>
      <c r="D76" s="5">
        <f t="shared" si="16"/>
        <v>0.78787878787878785</v>
      </c>
      <c r="E76" s="3">
        <f t="shared" si="17"/>
        <v>0.3451327433628319</v>
      </c>
      <c r="F76">
        <v>50</v>
      </c>
      <c r="G76" s="3">
        <f t="shared" si="19"/>
        <v>0.52</v>
      </c>
      <c r="H76" s="9">
        <v>47</v>
      </c>
      <c r="I76" s="3">
        <f t="shared" si="20"/>
        <v>1.0638297872340425</v>
      </c>
    </row>
    <row r="77" spans="1:12">
      <c r="A77" s="24" t="str">
        <f>Sheet2!G17</f>
        <v>47 (19.12 - 01.01)</v>
      </c>
      <c r="B77">
        <v>14</v>
      </c>
      <c r="C77">
        <v>25</v>
      </c>
      <c r="D77" s="5">
        <f t="shared" si="16"/>
        <v>0.56000000000000005</v>
      </c>
      <c r="E77" s="3"/>
      <c r="G77" s="3"/>
      <c r="H77" s="9"/>
      <c r="I77" s="3"/>
    </row>
    <row r="78" spans="1:12">
      <c r="A78" s="24">
        <v>48</v>
      </c>
      <c r="B78">
        <v>52</v>
      </c>
      <c r="C78">
        <v>63</v>
      </c>
      <c r="D78" s="5"/>
      <c r="E78" s="3"/>
      <c r="G78" s="3"/>
      <c r="H78" s="9"/>
      <c r="I78" s="3"/>
    </row>
    <row r="79" spans="1:12">
      <c r="A79" s="24">
        <v>49</v>
      </c>
      <c r="B79">
        <v>40</v>
      </c>
      <c r="C79">
        <v>58</v>
      </c>
      <c r="D79" s="5"/>
      <c r="E79" s="3"/>
      <c r="G79" s="3"/>
      <c r="H79" s="9"/>
      <c r="I79" s="3"/>
    </row>
    <row r="80" spans="1:12">
      <c r="A80" s="11"/>
      <c r="B80" s="11"/>
      <c r="C80" s="11"/>
      <c r="D80" s="12">
        <f>AVERAGE(D63:D77)</f>
        <v>0.88245780339734547</v>
      </c>
      <c r="E80" s="12">
        <f>AVERAGE(E53:E76)</f>
        <v>0.7744497796579769</v>
      </c>
      <c r="F80" s="13"/>
      <c r="G80" s="12">
        <f>AVERAGE(G63:G76)</f>
        <v>0.78972350983821593</v>
      </c>
      <c r="H80" s="11"/>
      <c r="I80" s="12">
        <f>AVERAGE(I53:I76)</f>
        <v>0.9992990160150641</v>
      </c>
      <c r="L80" s="2"/>
    </row>
    <row r="81" spans="1:9">
      <c r="D81" s="3"/>
      <c r="E81" s="3"/>
      <c r="G81" s="3"/>
      <c r="I81" s="3"/>
    </row>
    <row r="84" spans="1:9">
      <c r="A84" s="53" t="s">
        <v>32</v>
      </c>
      <c r="B84" s="53" t="s">
        <v>17</v>
      </c>
      <c r="C84" s="53"/>
      <c r="D84" s="53"/>
      <c r="E84" s="53"/>
      <c r="F84" s="53"/>
      <c r="G84" s="53"/>
      <c r="H84" s="53"/>
      <c r="I84" s="53"/>
    </row>
    <row r="85" spans="1:9">
      <c r="A85" t="s">
        <v>48</v>
      </c>
      <c r="B85" t="s">
        <v>49</v>
      </c>
      <c r="C85" t="s">
        <v>50</v>
      </c>
      <c r="D85" t="s">
        <v>51</v>
      </c>
      <c r="E85" t="s">
        <v>52</v>
      </c>
      <c r="F85" t="s">
        <v>53</v>
      </c>
      <c r="G85" t="s">
        <v>66</v>
      </c>
      <c r="H85" t="s">
        <v>10</v>
      </c>
      <c r="I85" t="s">
        <v>55</v>
      </c>
    </row>
    <row r="86" spans="1:9">
      <c r="A86" t="s">
        <v>56</v>
      </c>
      <c r="D86" s="5"/>
      <c r="E86" s="3"/>
      <c r="G86" s="3"/>
      <c r="I86" s="3"/>
    </row>
    <row r="87" spans="1:9">
      <c r="A87" t="s">
        <v>57</v>
      </c>
      <c r="D87" s="5"/>
      <c r="E87" s="3"/>
      <c r="G87" s="3"/>
      <c r="I87" s="3"/>
    </row>
    <row r="88" spans="1:9">
      <c r="A88" t="s">
        <v>58</v>
      </c>
      <c r="D88" s="5"/>
      <c r="E88" s="3"/>
      <c r="G88" s="3"/>
      <c r="I88" s="3"/>
    </row>
    <row r="89" spans="1:9">
      <c r="A89" t="s">
        <v>67</v>
      </c>
      <c r="D89" s="5"/>
      <c r="E89" s="3"/>
      <c r="G89" s="3"/>
      <c r="I89" s="3"/>
    </row>
    <row r="90" spans="1:9">
      <c r="A90" t="s">
        <v>60</v>
      </c>
      <c r="D90" s="5"/>
      <c r="E90" s="3"/>
      <c r="G90" s="3"/>
      <c r="I90" s="3"/>
    </row>
    <row r="91" spans="1:9">
      <c r="A91" t="s">
        <v>61</v>
      </c>
      <c r="D91" s="5"/>
      <c r="E91" s="3"/>
      <c r="G91" s="3"/>
      <c r="I91" s="3"/>
    </row>
    <row r="92" spans="1:9">
      <c r="A92" t="s">
        <v>62</v>
      </c>
      <c r="D92" s="5"/>
      <c r="E92" s="3"/>
      <c r="G92" s="3"/>
      <c r="I92" s="3"/>
    </row>
    <row r="93" spans="1:9">
      <c r="A93" t="s">
        <v>63</v>
      </c>
      <c r="D93" s="5"/>
      <c r="E93" s="3"/>
      <c r="G93" s="3"/>
      <c r="I93" s="3"/>
    </row>
    <row r="94" spans="1:9">
      <c r="A94" t="s">
        <v>64</v>
      </c>
      <c r="D94" s="5"/>
      <c r="E94" s="3"/>
      <c r="G94" s="3"/>
      <c r="I94" s="3"/>
    </row>
    <row r="95" spans="1:9">
      <c r="A95" t="s">
        <v>65</v>
      </c>
      <c r="D95" s="5"/>
      <c r="E95" s="3"/>
      <c r="G95" s="3"/>
      <c r="H95" s="9"/>
      <c r="I95" s="3"/>
    </row>
    <row r="96" spans="1:9">
      <c r="A96" s="24" t="str">
        <f>Sheet2!G3</f>
        <v>33 (06.06 - 19.06)</v>
      </c>
      <c r="B96">
        <v>33.25</v>
      </c>
      <c r="C96">
        <v>40.25</v>
      </c>
      <c r="D96" s="5">
        <f t="shared" ref="D96:D97" si="21">B96/C96</f>
        <v>0.82608695652173914</v>
      </c>
      <c r="E96" s="3">
        <f t="shared" ref="E96:E109" si="22">B96/$B189</f>
        <v>0.93006993006993011</v>
      </c>
      <c r="F96">
        <v>38.5</v>
      </c>
      <c r="G96" s="3">
        <f>B96/F96</f>
        <v>0.86363636363636365</v>
      </c>
      <c r="H96" s="9">
        <v>35.6</v>
      </c>
      <c r="I96" s="3">
        <f t="shared" ref="I96:I102" si="23">F96/H96</f>
        <v>1.0814606741573034</v>
      </c>
    </row>
    <row r="97" spans="1:9">
      <c r="A97" s="24" t="str">
        <f>Sheet2!G4</f>
        <v>34 (20.06 - 03.07)</v>
      </c>
      <c r="B97">
        <v>33</v>
      </c>
      <c r="C97">
        <v>53</v>
      </c>
      <c r="D97" s="5">
        <f t="shared" si="21"/>
        <v>0.62264150943396224</v>
      </c>
      <c r="E97" s="3">
        <f t="shared" si="22"/>
        <v>0.83544303797468356</v>
      </c>
      <c r="F97">
        <f>65.25-9.5-8.25</f>
        <v>47.5</v>
      </c>
      <c r="G97" s="3">
        <f>B97/F97</f>
        <v>0.69473684210526321</v>
      </c>
      <c r="H97" s="9">
        <v>51</v>
      </c>
      <c r="I97" s="3">
        <f t="shared" si="23"/>
        <v>0.93137254901960786</v>
      </c>
    </row>
    <row r="98" spans="1:9">
      <c r="A98" s="24" t="str">
        <f>Sheet2!G5</f>
        <v>35 (04.07 - 17.07)</v>
      </c>
      <c r="B98">
        <v>44.75</v>
      </c>
      <c r="C98">
        <v>68.75</v>
      </c>
      <c r="D98" s="5">
        <f t="shared" ref="D98:D110" si="24">B98/C98</f>
        <v>0.65090909090909088</v>
      </c>
      <c r="E98" s="3">
        <f t="shared" si="22"/>
        <v>0.91952054794520555</v>
      </c>
      <c r="F98">
        <v>54.5</v>
      </c>
      <c r="G98" s="3">
        <f>B98/F98</f>
        <v>0.82110091743119262</v>
      </c>
      <c r="H98" s="9">
        <v>56.5</v>
      </c>
      <c r="I98" s="3">
        <f t="shared" si="23"/>
        <v>0.96460176991150437</v>
      </c>
    </row>
    <row r="99" spans="1:9">
      <c r="A99" s="24" t="str">
        <f>Sheet2!G6</f>
        <v>36 (18.07 - 31.07)</v>
      </c>
      <c r="B99">
        <v>34</v>
      </c>
      <c r="C99">
        <v>49</v>
      </c>
      <c r="D99" s="5">
        <f t="shared" si="24"/>
        <v>0.69387755102040816</v>
      </c>
      <c r="E99" s="3">
        <f t="shared" si="22"/>
        <v>0.72597864768683273</v>
      </c>
      <c r="F99">
        <v>14.42</v>
      </c>
      <c r="G99" s="3">
        <v>1</v>
      </c>
      <c r="H99" s="9">
        <v>23</v>
      </c>
      <c r="I99" s="3">
        <f t="shared" si="23"/>
        <v>0.62695652173913041</v>
      </c>
    </row>
    <row r="100" spans="1:9">
      <c r="A100" s="24" t="str">
        <f>Sheet2!G7</f>
        <v>37 (01.08 - 14.08)</v>
      </c>
      <c r="B100">
        <v>15</v>
      </c>
      <c r="C100">
        <v>62</v>
      </c>
      <c r="D100" s="5">
        <f t="shared" si="24"/>
        <v>0.24193548387096775</v>
      </c>
      <c r="E100" s="3">
        <f t="shared" si="22"/>
        <v>0.34749034749034752</v>
      </c>
      <c r="F100">
        <v>53.33</v>
      </c>
      <c r="G100" s="3">
        <f t="shared" ref="G100:G102" si="25">B100/F100</f>
        <v>0.28126757922370149</v>
      </c>
      <c r="H100" s="9">
        <v>49</v>
      </c>
      <c r="I100" s="3">
        <f t="shared" si="23"/>
        <v>1.0883673469387756</v>
      </c>
    </row>
    <row r="101" spans="1:9">
      <c r="A101" s="24" t="str">
        <f>Sheet2!G8</f>
        <v>38 (15.08 - 28.08)</v>
      </c>
      <c r="B101">
        <v>59</v>
      </c>
      <c r="C101">
        <v>70</v>
      </c>
      <c r="D101" s="5">
        <f t="shared" si="24"/>
        <v>0.84285714285714286</v>
      </c>
      <c r="E101" s="3">
        <f t="shared" si="22"/>
        <v>1.1346153846153846</v>
      </c>
      <c r="F101">
        <v>46.67</v>
      </c>
      <c r="G101" s="3">
        <f t="shared" si="25"/>
        <v>1.2641954146132419</v>
      </c>
      <c r="H101" s="9">
        <v>32</v>
      </c>
      <c r="I101" s="3">
        <f t="shared" si="23"/>
        <v>1.4584375000000001</v>
      </c>
    </row>
    <row r="102" spans="1:9">
      <c r="A102" s="24" t="str">
        <f>Sheet2!G9</f>
        <v>39 (29.08 - 11.09)</v>
      </c>
      <c r="B102">
        <v>26</v>
      </c>
      <c r="C102">
        <v>22</v>
      </c>
      <c r="D102" s="5">
        <f t="shared" si="24"/>
        <v>1.1818181818181819</v>
      </c>
      <c r="E102" s="3">
        <f t="shared" si="22"/>
        <v>0.54610375971434577</v>
      </c>
      <c r="F102">
        <v>51</v>
      </c>
      <c r="G102" s="3">
        <f t="shared" si="25"/>
        <v>0.50980392156862742</v>
      </c>
      <c r="H102" s="9">
        <v>41</v>
      </c>
      <c r="I102" s="3">
        <f t="shared" si="23"/>
        <v>1.2439024390243902</v>
      </c>
    </row>
    <row r="103" spans="1:9">
      <c r="A103" s="24" t="str">
        <f>Sheet2!G10</f>
        <v>40 (12.09 - 25.09)</v>
      </c>
      <c r="B103">
        <v>21</v>
      </c>
      <c r="C103">
        <v>33</v>
      </c>
      <c r="D103" s="5">
        <f t="shared" si="24"/>
        <v>0.63636363636363635</v>
      </c>
      <c r="E103" s="3">
        <f t="shared" si="22"/>
        <v>0.48461538461538461</v>
      </c>
      <c r="F103">
        <v>9.5</v>
      </c>
      <c r="G103" s="3">
        <f>B103/F103</f>
        <v>2.2105263157894739</v>
      </c>
      <c r="H103" s="9">
        <v>9</v>
      </c>
      <c r="I103" s="3">
        <f>F103/H103</f>
        <v>1.0555555555555556</v>
      </c>
    </row>
    <row r="104" spans="1:9">
      <c r="A104" s="24" t="str">
        <f>Sheet2!G11</f>
        <v>41 (26.09 - 09.10)</v>
      </c>
      <c r="B104">
        <v>16</v>
      </c>
      <c r="C104">
        <v>45</v>
      </c>
      <c r="D104" s="5">
        <f t="shared" si="24"/>
        <v>0.35555555555555557</v>
      </c>
      <c r="E104" s="3">
        <f t="shared" si="22"/>
        <v>0.26666666666666666</v>
      </c>
      <c r="F104">
        <v>55.41</v>
      </c>
      <c r="G104" s="3">
        <f>B104/F104</f>
        <v>0.28875654214040791</v>
      </c>
      <c r="H104" s="9">
        <v>49.5</v>
      </c>
      <c r="I104" s="3">
        <f>F104/H104</f>
        <v>1.1193939393939394</v>
      </c>
    </row>
    <row r="105" spans="1:9">
      <c r="A105" s="24" t="str">
        <f>Sheet2!G12</f>
        <v>42 (10.10 - 23.10)</v>
      </c>
      <c r="B105">
        <v>77</v>
      </c>
      <c r="C105">
        <v>72</v>
      </c>
      <c r="D105" s="5">
        <f t="shared" si="24"/>
        <v>1.0694444444444444</v>
      </c>
      <c r="E105" s="3">
        <f t="shared" si="22"/>
        <v>1.0221238938053099</v>
      </c>
      <c r="F105">
        <v>46.6</v>
      </c>
      <c r="G105" s="3">
        <f t="shared" ref="G105:G109" si="26">B105/F105</f>
        <v>1.6523605150214591</v>
      </c>
      <c r="H105" s="9">
        <v>37</v>
      </c>
      <c r="I105" s="3">
        <f t="shared" ref="I105:I109" si="27">F105/H105</f>
        <v>1.2594594594594595</v>
      </c>
    </row>
    <row r="106" spans="1:9">
      <c r="A106" s="24" t="str">
        <f>Sheet2!G13</f>
        <v>43 (24.10 - 06.11)</v>
      </c>
      <c r="B106">
        <v>16</v>
      </c>
      <c r="C106">
        <v>38</v>
      </c>
      <c r="D106" s="5">
        <f t="shared" si="24"/>
        <v>0.42105263157894735</v>
      </c>
      <c r="E106" s="3">
        <f t="shared" si="22"/>
        <v>0.28828828828828829</v>
      </c>
      <c r="F106">
        <v>37.75</v>
      </c>
      <c r="G106" s="3">
        <f t="shared" si="26"/>
        <v>0.42384105960264901</v>
      </c>
      <c r="H106" s="9">
        <v>40.5</v>
      </c>
      <c r="I106" s="3">
        <f t="shared" si="27"/>
        <v>0.9320987654320988</v>
      </c>
    </row>
    <row r="107" spans="1:9">
      <c r="A107" s="24" t="str">
        <f>Sheet2!G14</f>
        <v>44 (07.11 - 20.11)</v>
      </c>
      <c r="B107">
        <v>79</v>
      </c>
      <c r="C107">
        <v>57</v>
      </c>
      <c r="D107" s="5">
        <f t="shared" si="24"/>
        <v>1.3859649122807018</v>
      </c>
      <c r="E107" s="3">
        <f t="shared" si="22"/>
        <v>1.1732673267326734</v>
      </c>
      <c r="F107">
        <v>51.25</v>
      </c>
      <c r="G107" s="3">
        <f t="shared" si="26"/>
        <v>1.5414634146341464</v>
      </c>
      <c r="H107" s="9">
        <v>54.5</v>
      </c>
      <c r="I107" s="3">
        <f t="shared" si="27"/>
        <v>0.94036697247706424</v>
      </c>
    </row>
    <row r="108" spans="1:9">
      <c r="A108" s="24" t="str">
        <f>Sheet2!G15</f>
        <v>45 (21.11 - 04.12)</v>
      </c>
      <c r="B108">
        <v>65</v>
      </c>
      <c r="C108">
        <v>52</v>
      </c>
      <c r="D108" s="5">
        <f t="shared" si="24"/>
        <v>1.25</v>
      </c>
      <c r="E108" s="3">
        <f t="shared" si="22"/>
        <v>0.90697674418604646</v>
      </c>
      <c r="F108">
        <v>68.3</v>
      </c>
      <c r="G108" s="3">
        <f t="shared" si="26"/>
        <v>0.95168374816983903</v>
      </c>
      <c r="H108" s="9">
        <v>54</v>
      </c>
      <c r="I108" s="3">
        <f t="shared" si="27"/>
        <v>1.2648148148148148</v>
      </c>
    </row>
    <row r="109" spans="1:9">
      <c r="A109" s="24" t="str">
        <f>Sheet2!G16</f>
        <v>46 (05.12 - 18.12)</v>
      </c>
      <c r="B109">
        <v>61</v>
      </c>
      <c r="C109">
        <v>31</v>
      </c>
      <c r="D109" s="5">
        <f t="shared" si="24"/>
        <v>1.967741935483871</v>
      </c>
      <c r="E109" s="3">
        <f t="shared" si="22"/>
        <v>0.80973451327433632</v>
      </c>
      <c r="F109">
        <v>66.400000000000006</v>
      </c>
      <c r="G109" s="3">
        <f t="shared" si="26"/>
        <v>0.9186746987951806</v>
      </c>
      <c r="H109" s="9">
        <v>53.5</v>
      </c>
      <c r="I109" s="3">
        <f t="shared" si="27"/>
        <v>1.2411214953271028</v>
      </c>
    </row>
    <row r="110" spans="1:9">
      <c r="A110" s="24" t="str">
        <f>Sheet2!G17</f>
        <v>47 (19.12 - 01.01)</v>
      </c>
      <c r="B110">
        <v>35</v>
      </c>
      <c r="C110">
        <v>27</v>
      </c>
      <c r="D110" s="5">
        <f t="shared" si="24"/>
        <v>1.2962962962962963</v>
      </c>
      <c r="E110" s="3"/>
      <c r="G110" s="3"/>
      <c r="H110" s="9"/>
      <c r="I110" s="3"/>
    </row>
    <row r="111" spans="1:9">
      <c r="A111" s="24">
        <v>48</v>
      </c>
      <c r="B111">
        <v>53</v>
      </c>
      <c r="C111">
        <v>59</v>
      </c>
      <c r="D111" s="5"/>
      <c r="E111" s="3"/>
      <c r="G111" s="3"/>
      <c r="H111" s="9"/>
      <c r="I111" s="3"/>
    </row>
    <row r="112" spans="1:9">
      <c r="A112" s="24">
        <v>49</v>
      </c>
      <c r="B112">
        <v>34</v>
      </c>
      <c r="C112">
        <v>52</v>
      </c>
      <c r="D112" s="5"/>
      <c r="E112" s="3"/>
      <c r="G112" s="3"/>
      <c r="H112" s="9"/>
      <c r="I112" s="3"/>
    </row>
    <row r="113" spans="1:9">
      <c r="A113" s="11"/>
      <c r="B113" s="11"/>
      <c r="C113" s="11"/>
      <c r="D113" s="12">
        <f>AVERAGE(D96:D110)</f>
        <v>0.89616968856232959</v>
      </c>
      <c r="E113" s="12">
        <f>AVERAGE(E96:E109)</f>
        <v>0.74220674807610243</v>
      </c>
      <c r="F113" s="13"/>
      <c r="G113" s="12">
        <f>AVERAGE(G96:G109)</f>
        <v>0.95871766662368185</v>
      </c>
      <c r="H113" s="11"/>
      <c r="I113" s="12">
        <f>AVERAGE(I96:I109)</f>
        <v>1.0862792716607677</v>
      </c>
    </row>
    <row r="114" spans="1:9">
      <c r="D114" s="3"/>
      <c r="E114" s="3"/>
      <c r="G114" s="3"/>
      <c r="I114" s="3"/>
    </row>
    <row r="117" spans="1:9">
      <c r="A117" s="56" t="s">
        <v>20</v>
      </c>
      <c r="B117" s="56" t="s">
        <v>68</v>
      </c>
      <c r="C117" s="56"/>
      <c r="D117" s="56"/>
      <c r="E117" s="56"/>
      <c r="F117" s="56"/>
      <c r="G117" s="56"/>
      <c r="H117" s="56"/>
      <c r="I117" s="56"/>
    </row>
    <row r="118" spans="1:9">
      <c r="A118" t="s">
        <v>48</v>
      </c>
      <c r="B118" t="s">
        <v>49</v>
      </c>
      <c r="C118" t="s">
        <v>50</v>
      </c>
      <c r="D118" t="s">
        <v>51</v>
      </c>
      <c r="E118" t="s">
        <v>52</v>
      </c>
      <c r="F118" t="s">
        <v>53</v>
      </c>
      <c r="G118" t="s">
        <v>66</v>
      </c>
      <c r="H118" t="s">
        <v>10</v>
      </c>
      <c r="I118" t="s">
        <v>55</v>
      </c>
    </row>
    <row r="119" spans="1:9">
      <c r="A119" t="s">
        <v>56</v>
      </c>
      <c r="B119">
        <v>16</v>
      </c>
      <c r="C119">
        <v>22.5</v>
      </c>
      <c r="D119" s="5">
        <f>B119/C119</f>
        <v>0.71111111111111114</v>
      </c>
      <c r="E119" s="3">
        <f t="shared" ref="E119:E127" si="28">B119/B179</f>
        <v>0.50130548302872058</v>
      </c>
      <c r="F119">
        <v>23.75</v>
      </c>
      <c r="G119" s="3">
        <f t="shared" ref="G119:G127" si="29">B119/F119</f>
        <v>0.67368421052631577</v>
      </c>
      <c r="H119">
        <v>23.5</v>
      </c>
      <c r="I119" s="3">
        <f>F119/H119</f>
        <v>1.0106382978723405</v>
      </c>
    </row>
    <row r="120" spans="1:9">
      <c r="A120" t="s">
        <v>57</v>
      </c>
      <c r="B120">
        <v>10.5</v>
      </c>
      <c r="C120">
        <v>15.25</v>
      </c>
      <c r="D120" s="5">
        <f t="shared" ref="D120:D130" si="30">B120/C120</f>
        <v>0.68852459016393441</v>
      </c>
      <c r="E120" s="3">
        <f t="shared" si="28"/>
        <v>0.60091568103777182</v>
      </c>
      <c r="F120">
        <v>19</v>
      </c>
      <c r="G120" s="3">
        <f t="shared" si="29"/>
        <v>0.55263157894736847</v>
      </c>
      <c r="H120">
        <v>23.5</v>
      </c>
      <c r="I120" s="3">
        <f t="shared" ref="I120:I129" si="31">F120/H120</f>
        <v>0.80851063829787229</v>
      </c>
    </row>
    <row r="121" spans="1:9">
      <c r="A121" t="s">
        <v>58</v>
      </c>
      <c r="B121">
        <v>21.08</v>
      </c>
      <c r="C121">
        <v>21.08</v>
      </c>
      <c r="D121" s="5">
        <f t="shared" si="30"/>
        <v>1</v>
      </c>
      <c r="E121" s="3">
        <f t="shared" si="28"/>
        <v>0.60760953112990002</v>
      </c>
      <c r="F121">
        <v>13.5</v>
      </c>
      <c r="G121" s="3">
        <f t="shared" si="29"/>
        <v>1.5614814814814812</v>
      </c>
      <c r="H121">
        <v>18</v>
      </c>
      <c r="I121" s="3">
        <f t="shared" si="31"/>
        <v>0.75</v>
      </c>
    </row>
    <row r="122" spans="1:9">
      <c r="A122" t="s">
        <v>67</v>
      </c>
      <c r="B122">
        <v>4</v>
      </c>
      <c r="C122">
        <v>14.5</v>
      </c>
      <c r="D122" s="5">
        <f t="shared" si="30"/>
        <v>0.27586206896551724</v>
      </c>
      <c r="E122" s="3">
        <f t="shared" si="28"/>
        <v>0.20750475531730936</v>
      </c>
      <c r="F122">
        <v>8</v>
      </c>
      <c r="G122" s="3">
        <f t="shared" si="29"/>
        <v>0.5</v>
      </c>
      <c r="H122">
        <v>23.5</v>
      </c>
      <c r="I122" s="3">
        <f t="shared" si="31"/>
        <v>0.34042553191489361</v>
      </c>
    </row>
    <row r="123" spans="1:9">
      <c r="A123" t="s">
        <v>60</v>
      </c>
      <c r="B123">
        <v>7.75</v>
      </c>
      <c r="C123">
        <v>26.75</v>
      </c>
      <c r="D123" s="5">
        <f t="shared" si="30"/>
        <v>0.28971962616822428</v>
      </c>
      <c r="E123" s="3">
        <f t="shared" si="28"/>
        <v>0.21232876712328766</v>
      </c>
      <c r="F123">
        <v>32</v>
      </c>
      <c r="G123" s="3">
        <f t="shared" si="29"/>
        <v>0.2421875</v>
      </c>
      <c r="H123">
        <v>29</v>
      </c>
      <c r="I123" s="3">
        <f t="shared" si="31"/>
        <v>1.103448275862069</v>
      </c>
    </row>
    <row r="124" spans="1:9">
      <c r="A124" t="s">
        <v>61</v>
      </c>
      <c r="B124">
        <v>42.25</v>
      </c>
      <c r="C124">
        <v>49</v>
      </c>
      <c r="D124" s="5">
        <f t="shared" si="30"/>
        <v>0.86224489795918369</v>
      </c>
      <c r="E124" s="3">
        <f t="shared" si="28"/>
        <v>0.83923723763490699</v>
      </c>
      <c r="F124">
        <v>35.17</v>
      </c>
      <c r="G124" s="3">
        <f t="shared" si="29"/>
        <v>1.2013079328973557</v>
      </c>
      <c r="H124">
        <v>29</v>
      </c>
      <c r="I124" s="3">
        <f t="shared" si="31"/>
        <v>1.2127586206896552</v>
      </c>
    </row>
    <row r="125" spans="1:9">
      <c r="A125" t="s">
        <v>62</v>
      </c>
      <c r="B125">
        <v>35.25</v>
      </c>
      <c r="C125">
        <v>34.25</v>
      </c>
      <c r="D125" s="5">
        <f t="shared" si="30"/>
        <v>1.0291970802919708</v>
      </c>
      <c r="E125" s="3">
        <f t="shared" si="28"/>
        <v>0.66060719640179921</v>
      </c>
      <c r="F125">
        <v>34.83</v>
      </c>
      <c r="G125" s="3">
        <f t="shared" si="29"/>
        <v>1.0120585701981051</v>
      </c>
      <c r="H125">
        <v>32.5</v>
      </c>
      <c r="I125" s="3">
        <f t="shared" si="31"/>
        <v>1.0716923076923077</v>
      </c>
    </row>
    <row r="126" spans="1:9">
      <c r="A126" t="s">
        <v>63</v>
      </c>
      <c r="B126">
        <v>19</v>
      </c>
      <c r="C126">
        <v>28</v>
      </c>
      <c r="D126" s="5">
        <f t="shared" si="30"/>
        <v>0.6785714285714286</v>
      </c>
      <c r="E126" s="3">
        <f t="shared" si="28"/>
        <v>0.55926216640502346</v>
      </c>
      <c r="F126">
        <v>24.5</v>
      </c>
      <c r="G126" s="3">
        <f t="shared" si="29"/>
        <v>0.77551020408163263</v>
      </c>
      <c r="H126">
        <v>28.5</v>
      </c>
      <c r="I126" s="3">
        <f t="shared" si="31"/>
        <v>0.85964912280701755</v>
      </c>
    </row>
    <row r="127" spans="1:9">
      <c r="A127" t="s">
        <v>64</v>
      </c>
      <c r="B127">
        <v>10</v>
      </c>
      <c r="C127">
        <v>22</v>
      </c>
      <c r="D127" s="5">
        <f t="shared" si="30"/>
        <v>0.45454545454545453</v>
      </c>
      <c r="E127" s="3">
        <f t="shared" si="28"/>
        <v>0.20618556701030927</v>
      </c>
      <c r="F127">
        <v>8.75</v>
      </c>
      <c r="G127" s="3">
        <f t="shared" si="29"/>
        <v>1.1428571428571428</v>
      </c>
      <c r="H127">
        <v>14</v>
      </c>
      <c r="I127" s="3">
        <f t="shared" si="31"/>
        <v>0.625</v>
      </c>
    </row>
    <row r="128" spans="1:9">
      <c r="A128" t="s">
        <v>65</v>
      </c>
      <c r="B128">
        <v>7</v>
      </c>
      <c r="C128">
        <v>11</v>
      </c>
      <c r="D128" s="5">
        <f t="shared" si="30"/>
        <v>0.63636363636363635</v>
      </c>
      <c r="E128" s="3">
        <f>B128/$B$188</f>
        <v>0.13042668157257312</v>
      </c>
      <c r="F128">
        <v>9.75</v>
      </c>
      <c r="G128" s="3">
        <f>B128/F128</f>
        <v>0.71794871794871795</v>
      </c>
      <c r="H128" s="9">
        <v>12</v>
      </c>
      <c r="I128" s="3">
        <f t="shared" si="31"/>
        <v>0.8125</v>
      </c>
    </row>
    <row r="129" spans="1:10">
      <c r="A129" s="24" t="str">
        <f>Sheet2!G3</f>
        <v>33 (06.06 - 19.06)</v>
      </c>
      <c r="B129">
        <v>7</v>
      </c>
      <c r="C129">
        <v>40.5</v>
      </c>
      <c r="D129" s="5">
        <f t="shared" si="30"/>
        <v>0.1728395061728395</v>
      </c>
      <c r="E129" s="3">
        <f>B129/$B$189</f>
        <v>0.19580419580419581</v>
      </c>
      <c r="F129">
        <v>14.92</v>
      </c>
      <c r="G129" s="3">
        <f>B129/F129</f>
        <v>0.46916890080428952</v>
      </c>
      <c r="H129" s="9">
        <v>31.9</v>
      </c>
      <c r="I129" s="3">
        <f t="shared" si="31"/>
        <v>0.46771159874608154</v>
      </c>
    </row>
    <row r="130" spans="1:10">
      <c r="A130" s="24" t="str">
        <f>Sheet2!G4</f>
        <v>34 (20.06 - 03.07)</v>
      </c>
      <c r="B130">
        <v>18.5</v>
      </c>
      <c r="C130">
        <v>82.5</v>
      </c>
      <c r="D130" s="5">
        <f t="shared" si="30"/>
        <v>0.22424242424242424</v>
      </c>
      <c r="E130" s="3">
        <f>B130/$B$190</f>
        <v>0.46835443037974683</v>
      </c>
      <c r="F130">
        <v>4.5</v>
      </c>
      <c r="G130" s="3">
        <f>B130/F130</f>
        <v>4.1111111111111107</v>
      </c>
      <c r="H130" s="9">
        <v>0</v>
      </c>
      <c r="I130" s="3">
        <v>0</v>
      </c>
    </row>
    <row r="131" spans="1:10">
      <c r="A131" s="24" t="str">
        <f>Sheet2!G5</f>
        <v>35 (04.07 - 17.07)</v>
      </c>
      <c r="D131" s="5"/>
      <c r="E131" s="3"/>
      <c r="G131" s="3"/>
      <c r="H131" s="9"/>
      <c r="I131" s="3"/>
    </row>
    <row r="132" spans="1:10">
      <c r="A132" s="24" t="str">
        <f>Sheet2!G6</f>
        <v>36 (18.07 - 31.07)</v>
      </c>
      <c r="D132" s="5"/>
      <c r="E132" s="3"/>
      <c r="G132" s="3"/>
      <c r="H132" s="9"/>
      <c r="I132" s="3"/>
    </row>
    <row r="133" spans="1:10">
      <c r="A133" s="24" t="str">
        <f>Sheet2!G7</f>
        <v>37 (01.08 - 14.08)</v>
      </c>
      <c r="D133" s="5"/>
      <c r="E133" s="3"/>
      <c r="G133" s="3"/>
      <c r="H133" s="9"/>
      <c r="I133" s="3"/>
    </row>
    <row r="134" spans="1:10">
      <c r="A134" s="24" t="str">
        <f>Sheet2!G8</f>
        <v>38 (15.08 - 28.08)</v>
      </c>
      <c r="D134" s="5"/>
      <c r="E134" s="3"/>
      <c r="G134" s="3"/>
      <c r="H134" s="9"/>
      <c r="I134" s="3"/>
    </row>
    <row r="135" spans="1:10">
      <c r="A135" s="24" t="str">
        <f>Sheet2!G9</f>
        <v>39 (29.08 - 11.09)</v>
      </c>
      <c r="D135" s="5"/>
      <c r="E135" s="3"/>
      <c r="G135" s="3"/>
      <c r="H135" s="9"/>
      <c r="I135" s="3"/>
    </row>
    <row r="136" spans="1:10">
      <c r="A136" s="24" t="str">
        <f>Sheet2!G10</f>
        <v>40 (12.09 - 25.09)</v>
      </c>
      <c r="D136" s="5"/>
      <c r="E136" s="3"/>
      <c r="G136" s="3"/>
      <c r="H136" s="9"/>
      <c r="I136" s="3"/>
    </row>
    <row r="137" spans="1:10">
      <c r="A137" s="24" t="str">
        <f>Sheet2!G11</f>
        <v>41 (26.09 - 09.10)</v>
      </c>
      <c r="D137" s="5"/>
      <c r="E137" s="3"/>
      <c r="G137" s="3"/>
      <c r="H137" s="9"/>
      <c r="I137" s="3"/>
    </row>
    <row r="138" spans="1:10">
      <c r="A138" s="24" t="str">
        <f>Sheet2!G12</f>
        <v>42 (10.10 - 23.10)</v>
      </c>
      <c r="D138" s="5"/>
      <c r="E138" s="3"/>
      <c r="G138" s="3"/>
      <c r="H138" s="9"/>
      <c r="I138" s="3"/>
    </row>
    <row r="139" spans="1:10">
      <c r="A139" s="24" t="str">
        <f>Sheet2!G13</f>
        <v>43 (24.10 - 06.11)</v>
      </c>
      <c r="D139" s="5"/>
      <c r="E139" s="3"/>
      <c r="G139" s="3"/>
      <c r="H139" s="9"/>
      <c r="I139" s="3"/>
    </row>
    <row r="140" spans="1:10">
      <c r="A140" s="24" t="str">
        <f>Sheet2!G14</f>
        <v>44 (07.11 - 20.11)</v>
      </c>
      <c r="D140" s="5"/>
      <c r="E140" s="3"/>
      <c r="G140" s="3"/>
      <c r="H140" s="9"/>
      <c r="I140" s="3"/>
    </row>
    <row r="141" spans="1:10">
      <c r="A141" s="24"/>
      <c r="D141" s="5"/>
      <c r="E141" s="3"/>
      <c r="G141" s="3"/>
      <c r="H141" s="9"/>
      <c r="I141" s="3"/>
    </row>
    <row r="142" spans="1:10">
      <c r="A142" s="30"/>
      <c r="B142" s="30"/>
      <c r="C142" s="30"/>
      <c r="D142" s="31"/>
      <c r="E142" s="31"/>
      <c r="F142" s="32"/>
      <c r="G142" s="31"/>
      <c r="H142" s="30"/>
      <c r="I142" s="31"/>
    </row>
    <row r="143" spans="1:10">
      <c r="J143"/>
    </row>
    <row r="144" spans="1:10">
      <c r="J144"/>
    </row>
    <row r="145" spans="1:9">
      <c r="D145" s="3"/>
      <c r="E145" s="3"/>
      <c r="G145" s="3"/>
      <c r="I145" s="3"/>
    </row>
    <row r="146" spans="1:9">
      <c r="A146" s="53" t="s">
        <v>34</v>
      </c>
      <c r="B146" s="53" t="s">
        <v>17</v>
      </c>
      <c r="C146" s="53"/>
      <c r="D146" s="53"/>
      <c r="E146" s="53"/>
      <c r="F146" s="53"/>
      <c r="G146" s="53"/>
      <c r="H146" s="53"/>
      <c r="I146" s="53"/>
    </row>
    <row r="147" spans="1:9">
      <c r="A147" t="s">
        <v>48</v>
      </c>
      <c r="B147" t="s">
        <v>49</v>
      </c>
      <c r="C147" t="s">
        <v>50</v>
      </c>
      <c r="D147" t="s">
        <v>51</v>
      </c>
      <c r="E147" t="s">
        <v>52</v>
      </c>
      <c r="F147" t="s">
        <v>53</v>
      </c>
      <c r="G147" t="s">
        <v>66</v>
      </c>
      <c r="H147" t="s">
        <v>10</v>
      </c>
      <c r="I147" t="s">
        <v>55</v>
      </c>
    </row>
    <row r="148" spans="1:9">
      <c r="A148" t="s">
        <v>56</v>
      </c>
      <c r="D148" s="5"/>
      <c r="E148" s="3"/>
      <c r="G148" s="3"/>
      <c r="I148" s="3"/>
    </row>
    <row r="149" spans="1:9">
      <c r="A149" t="s">
        <v>57</v>
      </c>
      <c r="D149" s="5"/>
      <c r="E149" s="3"/>
      <c r="G149" s="3"/>
      <c r="I149" s="3"/>
    </row>
    <row r="150" spans="1:9">
      <c r="A150" t="s">
        <v>58</v>
      </c>
      <c r="D150" s="5"/>
      <c r="E150" s="3"/>
      <c r="G150" s="3"/>
      <c r="I150" s="3"/>
    </row>
    <row r="151" spans="1:9">
      <c r="A151" t="s">
        <v>67</v>
      </c>
      <c r="D151" s="5"/>
      <c r="E151" s="3"/>
      <c r="G151" s="3"/>
      <c r="I151" s="3"/>
    </row>
    <row r="152" spans="1:9">
      <c r="A152" t="s">
        <v>60</v>
      </c>
      <c r="D152" s="5"/>
      <c r="E152" s="3"/>
      <c r="G152" s="3"/>
      <c r="I152" s="3"/>
    </row>
    <row r="153" spans="1:9">
      <c r="A153" t="s">
        <v>61</v>
      </c>
      <c r="D153" s="5"/>
      <c r="E153" s="3"/>
      <c r="G153" s="3"/>
      <c r="I153" s="3"/>
    </row>
    <row r="154" spans="1:9">
      <c r="A154" t="s">
        <v>62</v>
      </c>
      <c r="D154" s="5"/>
      <c r="E154" s="3"/>
      <c r="G154" s="3"/>
      <c r="I154" s="3"/>
    </row>
    <row r="155" spans="1:9">
      <c r="A155" t="s">
        <v>63</v>
      </c>
      <c r="D155" s="5"/>
      <c r="E155" s="3"/>
      <c r="G155" s="3"/>
      <c r="I155" s="3"/>
    </row>
    <row r="156" spans="1:9">
      <c r="A156" t="s">
        <v>64</v>
      </c>
      <c r="D156" s="5"/>
      <c r="E156" s="3"/>
      <c r="G156" s="3"/>
      <c r="I156" s="3"/>
    </row>
    <row r="157" spans="1:9">
      <c r="A157" t="s">
        <v>65</v>
      </c>
      <c r="D157" s="5"/>
      <c r="E157" s="3"/>
      <c r="G157" s="3"/>
      <c r="H157" s="9"/>
      <c r="I157" s="3"/>
    </row>
    <row r="158" spans="1:9">
      <c r="A158" s="24" t="str">
        <f>Sheet2!G3</f>
        <v>33 (06.06 - 19.06)</v>
      </c>
      <c r="D158" s="5"/>
      <c r="E158" s="3"/>
      <c r="G158" s="3"/>
      <c r="H158" s="9"/>
      <c r="I158" s="3"/>
    </row>
    <row r="159" spans="1:9">
      <c r="A159" s="24" t="str">
        <f>Sheet2!G4</f>
        <v>34 (20.06 - 03.07)</v>
      </c>
      <c r="D159" s="5"/>
      <c r="E159" s="3"/>
      <c r="G159" s="3"/>
      <c r="H159" s="9"/>
      <c r="I159" s="3"/>
    </row>
    <row r="160" spans="1:9">
      <c r="A160" s="24" t="str">
        <f>Sheet2!G5</f>
        <v>35 (04.07 - 17.07)</v>
      </c>
      <c r="B160">
        <v>45</v>
      </c>
      <c r="C160">
        <v>45</v>
      </c>
      <c r="D160" s="5">
        <f t="shared" ref="D160:D172" si="32">B160/C160</f>
        <v>1</v>
      </c>
      <c r="E160" s="3">
        <f t="shared" ref="E160:E171" si="33">B160/$B191</f>
        <v>0.92465753424657537</v>
      </c>
      <c r="F160">
        <v>61.75</v>
      </c>
      <c r="G160" s="3">
        <f t="shared" ref="G160:G171" si="34">B160/F160</f>
        <v>0.72874493927125505</v>
      </c>
      <c r="H160" s="9">
        <v>65</v>
      </c>
      <c r="I160" s="3">
        <f t="shared" ref="I160:I171" si="35">F160/H160</f>
        <v>0.95</v>
      </c>
    </row>
    <row r="161" spans="1:9">
      <c r="A161" s="24" t="str">
        <f>Sheet2!G6</f>
        <v>36 (18.07 - 31.07)</v>
      </c>
      <c r="B161">
        <v>28</v>
      </c>
      <c r="C161">
        <v>57</v>
      </c>
      <c r="D161" s="5">
        <f t="shared" si="32"/>
        <v>0.49122807017543857</v>
      </c>
      <c r="E161" s="3">
        <f t="shared" si="33"/>
        <v>0.59786476868327398</v>
      </c>
      <c r="F161">
        <v>60.75</v>
      </c>
      <c r="G161" s="3">
        <f t="shared" si="34"/>
        <v>0.46090534979423869</v>
      </c>
      <c r="H161" s="9">
        <v>57</v>
      </c>
      <c r="I161" s="3">
        <f t="shared" si="35"/>
        <v>1.0657894736842106</v>
      </c>
    </row>
    <row r="162" spans="1:9">
      <c r="A162" s="24" t="str">
        <f>Sheet2!G7</f>
        <v>37 (01.08 - 14.08)</v>
      </c>
      <c r="B162">
        <v>60</v>
      </c>
      <c r="C162">
        <v>76</v>
      </c>
      <c r="D162" s="5">
        <f t="shared" si="32"/>
        <v>0.78947368421052633</v>
      </c>
      <c r="E162" s="3">
        <f t="shared" si="33"/>
        <v>1.3899613899613901</v>
      </c>
      <c r="F162">
        <v>61.75</v>
      </c>
      <c r="G162" s="3">
        <f t="shared" si="34"/>
        <v>0.97165991902834004</v>
      </c>
      <c r="H162" s="9">
        <v>61</v>
      </c>
      <c r="I162" s="3">
        <f t="shared" si="35"/>
        <v>1.0122950819672132</v>
      </c>
    </row>
    <row r="163" spans="1:9">
      <c r="A163" s="24" t="str">
        <f>Sheet2!G8</f>
        <v>38 (15.08 - 28.08)</v>
      </c>
      <c r="B163">
        <v>49</v>
      </c>
      <c r="C163">
        <v>57</v>
      </c>
      <c r="D163" s="5">
        <f t="shared" si="32"/>
        <v>0.85964912280701755</v>
      </c>
      <c r="E163" s="3">
        <f t="shared" si="33"/>
        <v>0.94230769230769229</v>
      </c>
      <c r="F163">
        <v>54.25</v>
      </c>
      <c r="G163" s="3">
        <f t="shared" si="34"/>
        <v>0.90322580645161288</v>
      </c>
      <c r="H163" s="9">
        <v>44</v>
      </c>
      <c r="I163" s="3">
        <f t="shared" si="35"/>
        <v>1.2329545454545454</v>
      </c>
    </row>
    <row r="164" spans="1:9">
      <c r="A164" s="24" t="str">
        <f>Sheet2!G9</f>
        <v>39 (29.08 - 11.09)</v>
      </c>
      <c r="B164">
        <v>55.83</v>
      </c>
      <c r="C164">
        <v>22</v>
      </c>
      <c r="D164" s="5">
        <f t="shared" si="32"/>
        <v>2.5377272727272726</v>
      </c>
      <c r="E164" s="3">
        <f t="shared" si="33"/>
        <v>1.1726528040327664</v>
      </c>
      <c r="F164">
        <v>63.75</v>
      </c>
      <c r="G164" s="3">
        <f t="shared" si="34"/>
        <v>0.87576470588235289</v>
      </c>
      <c r="H164" s="9">
        <v>53</v>
      </c>
      <c r="I164" s="3">
        <f t="shared" si="35"/>
        <v>1.2028301886792452</v>
      </c>
    </row>
    <row r="165" spans="1:9">
      <c r="A165" s="24" t="str">
        <f>Sheet2!G10</f>
        <v>40 (12.09 - 25.09)</v>
      </c>
      <c r="B165">
        <f>18+12+8</f>
        <v>38</v>
      </c>
      <c r="C165">
        <v>45</v>
      </c>
      <c r="D165" s="5">
        <f t="shared" si="32"/>
        <v>0.84444444444444444</v>
      </c>
      <c r="E165" s="3">
        <f t="shared" si="33"/>
        <v>0.87692307692307692</v>
      </c>
      <c r="F165">
        <v>61.5</v>
      </c>
      <c r="G165" s="3">
        <f t="shared" si="34"/>
        <v>0.61788617886178865</v>
      </c>
      <c r="H165" s="9">
        <v>53</v>
      </c>
      <c r="I165" s="3">
        <f t="shared" si="35"/>
        <v>1.1603773584905661</v>
      </c>
    </row>
    <row r="166" spans="1:9">
      <c r="A166" s="24" t="str">
        <f>Sheet2!G11</f>
        <v>41 (26.09 - 09.10)</v>
      </c>
      <c r="B166">
        <v>69</v>
      </c>
      <c r="C166">
        <v>59</v>
      </c>
      <c r="D166" s="5">
        <f t="shared" si="32"/>
        <v>1.1694915254237288</v>
      </c>
      <c r="E166" s="3">
        <f t="shared" si="33"/>
        <v>1.1499999999999999</v>
      </c>
      <c r="F166">
        <v>51.25</v>
      </c>
      <c r="G166" s="3">
        <f t="shared" si="34"/>
        <v>1.3463414634146342</v>
      </c>
      <c r="H166" s="9">
        <v>55.5</v>
      </c>
      <c r="I166" s="3">
        <f t="shared" si="35"/>
        <v>0.92342342342342343</v>
      </c>
    </row>
    <row r="167" spans="1:9">
      <c r="A167" s="24" t="str">
        <f>Sheet2!G12</f>
        <v>42 (10.10 - 23.10)</v>
      </c>
      <c r="B167">
        <v>104</v>
      </c>
      <c r="C167">
        <v>60</v>
      </c>
      <c r="D167" s="5">
        <f t="shared" si="32"/>
        <v>1.7333333333333334</v>
      </c>
      <c r="E167" s="3">
        <f t="shared" si="33"/>
        <v>1.3805309734513276</v>
      </c>
      <c r="F167">
        <v>60.5</v>
      </c>
      <c r="G167" s="3">
        <f t="shared" si="34"/>
        <v>1.71900826446281</v>
      </c>
      <c r="H167" s="9">
        <v>49</v>
      </c>
      <c r="I167" s="3">
        <f t="shared" si="35"/>
        <v>1.2346938775510203</v>
      </c>
    </row>
    <row r="168" spans="1:9">
      <c r="A168" s="24" t="str">
        <f>Sheet2!G13</f>
        <v>43 (24.10 - 06.11)</v>
      </c>
      <c r="B168">
        <v>44</v>
      </c>
      <c r="C168">
        <v>44</v>
      </c>
      <c r="D168" s="5">
        <f t="shared" si="32"/>
        <v>1</v>
      </c>
      <c r="E168" s="3">
        <f t="shared" si="33"/>
        <v>0.7927927927927928</v>
      </c>
      <c r="F168">
        <v>58.25</v>
      </c>
      <c r="G168" s="3">
        <f t="shared" si="34"/>
        <v>0.75536480686695284</v>
      </c>
      <c r="H168" s="9">
        <v>56.5</v>
      </c>
      <c r="I168" s="3">
        <f t="shared" si="35"/>
        <v>1.0309734513274336</v>
      </c>
    </row>
    <row r="169" spans="1:9">
      <c r="A169" s="24" t="str">
        <f>Sheet2!G14</f>
        <v>44 (07.11 - 20.11)</v>
      </c>
      <c r="B169">
        <v>71</v>
      </c>
      <c r="C169">
        <v>59</v>
      </c>
      <c r="D169" s="5">
        <f t="shared" si="32"/>
        <v>1.2033898305084745</v>
      </c>
      <c r="E169" s="3">
        <f t="shared" si="33"/>
        <v>1.0544554455445545</v>
      </c>
      <c r="F169">
        <v>58.25</v>
      </c>
      <c r="G169" s="3">
        <f t="shared" si="34"/>
        <v>1.2188841201716738</v>
      </c>
      <c r="H169" s="9">
        <v>65.5</v>
      </c>
      <c r="I169" s="3">
        <f t="shared" si="35"/>
        <v>0.88931297709923662</v>
      </c>
    </row>
    <row r="170" spans="1:9">
      <c r="A170" s="24" t="str">
        <f>Sheet2!G15</f>
        <v>45 (21.11 - 04.12)</v>
      </c>
      <c r="B170">
        <v>61</v>
      </c>
      <c r="C170">
        <v>58</v>
      </c>
      <c r="D170" s="5">
        <f t="shared" si="32"/>
        <v>1.0517241379310345</v>
      </c>
      <c r="E170" s="3">
        <f t="shared" si="33"/>
        <v>0.85116279069767431</v>
      </c>
      <c r="F170">
        <v>63.75</v>
      </c>
      <c r="G170" s="3">
        <f t="shared" si="34"/>
        <v>0.95686274509803926</v>
      </c>
      <c r="H170" s="9">
        <v>65.5</v>
      </c>
      <c r="I170" s="3">
        <f t="shared" si="35"/>
        <v>0.97328244274809161</v>
      </c>
    </row>
    <row r="171" spans="1:9">
      <c r="A171" s="24" t="str">
        <f>Sheet2!G16</f>
        <v>46 (05.12 - 18.12)</v>
      </c>
      <c r="B171">
        <v>101</v>
      </c>
      <c r="C171">
        <v>59</v>
      </c>
      <c r="D171" s="5">
        <f t="shared" si="32"/>
        <v>1.7118644067796611</v>
      </c>
      <c r="E171" s="3">
        <f t="shared" si="33"/>
        <v>1.3407079646017699</v>
      </c>
      <c r="F171">
        <v>65.75</v>
      </c>
      <c r="G171" s="3">
        <f t="shared" si="34"/>
        <v>1.5361216730038023</v>
      </c>
      <c r="H171" s="9">
        <v>65</v>
      </c>
      <c r="I171" s="3">
        <f t="shared" si="35"/>
        <v>1.0115384615384615</v>
      </c>
    </row>
    <row r="172" spans="1:9">
      <c r="A172" s="24" t="str">
        <f>Sheet2!G17</f>
        <v>47 (19.12 - 01.01)</v>
      </c>
      <c r="B172">
        <v>34</v>
      </c>
      <c r="C172">
        <v>35</v>
      </c>
      <c r="D172" s="5">
        <f t="shared" si="32"/>
        <v>0.97142857142857142</v>
      </c>
      <c r="E172" s="3"/>
      <c r="G172" s="3"/>
      <c r="H172" s="9"/>
      <c r="I172" s="3"/>
    </row>
    <row r="173" spans="1:9">
      <c r="A173" s="24">
        <v>48</v>
      </c>
      <c r="B173">
        <v>15</v>
      </c>
      <c r="C173">
        <v>51</v>
      </c>
      <c r="D173" s="5"/>
      <c r="E173" s="3"/>
      <c r="G173" s="3"/>
      <c r="H173" s="9"/>
      <c r="I173" s="3"/>
    </row>
    <row r="174" spans="1:9">
      <c r="A174" s="24">
        <v>49</v>
      </c>
      <c r="B174">
        <v>0</v>
      </c>
      <c r="C174">
        <v>48</v>
      </c>
      <c r="D174" s="5"/>
      <c r="E174" s="3"/>
      <c r="G174" s="3"/>
      <c r="H174" s="9"/>
      <c r="I174" s="3"/>
    </row>
    <row r="175" spans="1:9">
      <c r="A175" s="11"/>
      <c r="B175" s="11"/>
      <c r="C175" s="11"/>
      <c r="D175" s="12">
        <f>AVERAGE(D160:D172)</f>
        <v>1.181827261520731</v>
      </c>
      <c r="E175" s="12">
        <f>AVERAGE(E160:E171)</f>
        <v>1.0395014361035746</v>
      </c>
      <c r="F175" s="13"/>
      <c r="G175" s="12">
        <f>AVERAGE(G160:G171)</f>
        <v>1.0075641643589583</v>
      </c>
      <c r="H175" s="11"/>
      <c r="I175" s="12">
        <f>AVERAGE(I160:I171)</f>
        <v>1.0572892734969541</v>
      </c>
    </row>
    <row r="178" spans="1:6">
      <c r="A178" t="s">
        <v>48</v>
      </c>
      <c r="B178" t="s">
        <v>69</v>
      </c>
      <c r="C178" t="s">
        <v>70</v>
      </c>
      <c r="D178" t="s">
        <v>71</v>
      </c>
    </row>
    <row r="179" spans="1:6">
      <c r="A179" t="s">
        <v>56</v>
      </c>
      <c r="B179" s="7">
        <f t="shared" ref="B179:B186" si="36">(SUM(B3,B20,B53,B86,B119)-MIN(B3,B20,B53,B86,B119))/(COUNT(B3,B20,B53,B86,B119)-1)</f>
        <v>31.916666666666668</v>
      </c>
      <c r="C179" s="7">
        <f t="shared" ref="C179:C190" si="37">(SUM(C3,C20,C53,C86,C119))</f>
        <v>150.42000000000002</v>
      </c>
      <c r="D179" s="7">
        <f>(SUM(B3,B20,B53,B86,B119))</f>
        <v>111.75</v>
      </c>
      <c r="E179" s="2"/>
      <c r="F179" s="2"/>
    </row>
    <row r="180" spans="1:6">
      <c r="A180" t="s">
        <v>57</v>
      </c>
      <c r="B180" s="7">
        <f t="shared" si="36"/>
        <v>17.473333333333333</v>
      </c>
      <c r="C180" s="7">
        <f t="shared" si="37"/>
        <v>110.67</v>
      </c>
      <c r="D180" s="7">
        <f>(SUM(B4,B21,B54,B87,B120))</f>
        <v>62.92</v>
      </c>
    </row>
    <row r="181" spans="1:6">
      <c r="A181" t="s">
        <v>58</v>
      </c>
      <c r="B181" s="7">
        <f t="shared" si="36"/>
        <v>34.693333333333335</v>
      </c>
      <c r="C181" s="7">
        <f t="shared" si="37"/>
        <v>175.49</v>
      </c>
      <c r="D181" s="9">
        <f t="shared" ref="D181:D203" si="38">(SUM(B22,B55,B88,B150))</f>
        <v>72.08</v>
      </c>
    </row>
    <row r="182" spans="1:6">
      <c r="A182" t="s">
        <v>67</v>
      </c>
      <c r="B182" s="7">
        <f t="shared" si="36"/>
        <v>19.276666666666667</v>
      </c>
      <c r="C182" s="7">
        <f t="shared" si="37"/>
        <v>116.5</v>
      </c>
      <c r="D182" s="9">
        <f t="shared" si="38"/>
        <v>23.33</v>
      </c>
    </row>
    <row r="183" spans="1:6">
      <c r="A183" t="s">
        <v>60</v>
      </c>
      <c r="B183" s="7">
        <f t="shared" si="36"/>
        <v>36.5</v>
      </c>
      <c r="C183" s="7">
        <f t="shared" si="37"/>
        <v>171.75</v>
      </c>
      <c r="D183" s="9">
        <f t="shared" si="38"/>
        <v>74.5</v>
      </c>
    </row>
    <row r="184" spans="1:6">
      <c r="A184" t="s">
        <v>72</v>
      </c>
      <c r="B184" s="7">
        <f t="shared" si="36"/>
        <v>50.343333333333334</v>
      </c>
      <c r="C184" s="7">
        <f t="shared" si="37"/>
        <v>227.03</v>
      </c>
      <c r="D184" s="9">
        <f t="shared" si="38"/>
        <v>91.68</v>
      </c>
    </row>
    <row r="185" spans="1:6">
      <c r="A185" t="s">
        <v>62</v>
      </c>
      <c r="B185" s="7">
        <f t="shared" si="36"/>
        <v>53.359999999999992</v>
      </c>
      <c r="C185" s="7">
        <f t="shared" si="37"/>
        <v>203.57999999999998</v>
      </c>
      <c r="D185" s="9">
        <f t="shared" si="38"/>
        <v>91.33</v>
      </c>
    </row>
    <row r="186" spans="1:6">
      <c r="A186" t="s">
        <v>63</v>
      </c>
      <c r="B186" s="7">
        <f t="shared" si="36"/>
        <v>33.973333333333336</v>
      </c>
      <c r="C186" s="7">
        <f t="shared" si="37"/>
        <v>179.02</v>
      </c>
      <c r="D186" s="9">
        <f t="shared" si="38"/>
        <v>60.75</v>
      </c>
    </row>
    <row r="187" spans="1:6">
      <c r="A187" t="s">
        <v>64</v>
      </c>
      <c r="B187" s="7">
        <f t="shared" ref="B187:B203" si="39">(SUM(B28,B61,B94,B156)-MIN(B28,B61,B94,B156))/(COUNT(B28,B61,B94,B156)-1)</f>
        <v>48.5</v>
      </c>
      <c r="C187" s="7">
        <f t="shared" si="37"/>
        <v>143.1</v>
      </c>
      <c r="D187" s="9">
        <f t="shared" si="38"/>
        <v>91</v>
      </c>
    </row>
    <row r="188" spans="1:6">
      <c r="A188" t="s">
        <v>65</v>
      </c>
      <c r="B188" s="7">
        <f t="shared" si="39"/>
        <v>53.670000000000009</v>
      </c>
      <c r="C188" s="7">
        <f t="shared" si="37"/>
        <v>180.52</v>
      </c>
      <c r="D188" s="9">
        <f t="shared" si="38"/>
        <v>84.52000000000001</v>
      </c>
    </row>
    <row r="189" spans="1:6">
      <c r="A189" t="str">
        <f>Sheet2!G3</f>
        <v>33 (06.06 - 19.06)</v>
      </c>
      <c r="B189" s="7">
        <f t="shared" si="39"/>
        <v>35.75</v>
      </c>
      <c r="C189" s="7">
        <f t="shared" si="37"/>
        <v>211.25</v>
      </c>
      <c r="D189" s="9">
        <f t="shared" si="38"/>
        <v>79.5</v>
      </c>
    </row>
    <row r="190" spans="1:6">
      <c r="A190" t="str">
        <f>Sheet2!G4</f>
        <v>34 (20.06 - 03.07)</v>
      </c>
      <c r="B190" s="7">
        <f t="shared" si="39"/>
        <v>39.5</v>
      </c>
      <c r="C190" s="7">
        <f t="shared" si="37"/>
        <v>252.5</v>
      </c>
      <c r="D190" s="9">
        <f t="shared" si="38"/>
        <v>112</v>
      </c>
    </row>
    <row r="191" spans="1:6">
      <c r="A191" t="str">
        <f>Sheet2!G5</f>
        <v>35 (04.07 - 17.07)</v>
      </c>
      <c r="B191" s="7">
        <f t="shared" si="39"/>
        <v>48.666666666666664</v>
      </c>
      <c r="C191" s="7">
        <f t="shared" ref="C191:C203" si="40">(SUM(C32,C65,C98,C160))</f>
        <v>238.75</v>
      </c>
      <c r="D191" s="9">
        <f t="shared" si="38"/>
        <v>190.75</v>
      </c>
    </row>
    <row r="192" spans="1:6">
      <c r="A192" t="str">
        <f>Sheet2!G6</f>
        <v>36 (18.07 - 31.07)</v>
      </c>
      <c r="B192" s="7">
        <f t="shared" si="39"/>
        <v>46.833333333333336</v>
      </c>
      <c r="C192" s="7">
        <f t="shared" si="40"/>
        <v>217</v>
      </c>
      <c r="D192" s="9">
        <f t="shared" si="38"/>
        <v>168.5</v>
      </c>
    </row>
    <row r="193" spans="1:5">
      <c r="A193" t="str">
        <f>Sheet2!G7</f>
        <v>37 (01.08 - 14.08)</v>
      </c>
      <c r="B193" s="7">
        <f t="shared" si="39"/>
        <v>43.166666666666664</v>
      </c>
      <c r="C193" s="7">
        <f t="shared" si="40"/>
        <v>248.5</v>
      </c>
      <c r="D193" s="9">
        <f t="shared" si="38"/>
        <v>144.5</v>
      </c>
    </row>
    <row r="194" spans="1:5">
      <c r="A194" t="str">
        <f>Sheet2!G8</f>
        <v>38 (15.08 - 28.08)</v>
      </c>
      <c r="B194" s="7">
        <f t="shared" si="39"/>
        <v>52</v>
      </c>
      <c r="C194" s="7">
        <f t="shared" si="40"/>
        <v>260</v>
      </c>
      <c r="D194" s="9">
        <f t="shared" si="38"/>
        <v>196</v>
      </c>
    </row>
    <row r="195" spans="1:5">
      <c r="A195" t="str">
        <f>Sheet2!G9</f>
        <v>39 (29.08 - 11.09)</v>
      </c>
      <c r="B195" s="7">
        <f t="shared" si="39"/>
        <v>47.609999999999992</v>
      </c>
      <c r="C195" s="7">
        <f t="shared" si="40"/>
        <v>121</v>
      </c>
      <c r="D195" s="9">
        <f t="shared" si="38"/>
        <v>168.82999999999998</v>
      </c>
    </row>
    <row r="196" spans="1:5">
      <c r="A196" t="str">
        <f>Sheet2!G10</f>
        <v>40 (12.09 - 25.09)</v>
      </c>
      <c r="B196" s="7">
        <f t="shared" si="39"/>
        <v>43.333333333333336</v>
      </c>
      <c r="C196" s="7">
        <f t="shared" si="40"/>
        <v>170</v>
      </c>
      <c r="D196" s="9">
        <f t="shared" si="38"/>
        <v>151</v>
      </c>
    </row>
    <row r="197" spans="1:5">
      <c r="A197" t="str">
        <f>Sheet2!G11</f>
        <v>41 (26.09 - 09.10)</v>
      </c>
      <c r="B197" s="7">
        <f t="shared" si="39"/>
        <v>60</v>
      </c>
      <c r="C197" s="7">
        <f t="shared" si="40"/>
        <v>186</v>
      </c>
      <c r="D197" s="9">
        <f t="shared" si="38"/>
        <v>196</v>
      </c>
    </row>
    <row r="198" spans="1:5">
      <c r="A198" t="str">
        <f>Sheet2!G12</f>
        <v>42 (10.10 - 23.10)</v>
      </c>
      <c r="B198" s="7">
        <f t="shared" si="39"/>
        <v>75.333333333333329</v>
      </c>
      <c r="C198" s="7">
        <f t="shared" si="40"/>
        <v>220</v>
      </c>
      <c r="D198" s="9">
        <f t="shared" si="38"/>
        <v>257</v>
      </c>
    </row>
    <row r="199" spans="1:5">
      <c r="A199" t="str">
        <f>Sheet2!G13</f>
        <v>43 (24.10 - 06.11)</v>
      </c>
      <c r="B199" s="7">
        <f t="shared" si="39"/>
        <v>55.5</v>
      </c>
      <c r="C199" s="7">
        <f t="shared" si="40"/>
        <v>192.5</v>
      </c>
      <c r="D199" s="9">
        <f t="shared" si="38"/>
        <v>182.5</v>
      </c>
    </row>
    <row r="200" spans="1:5">
      <c r="A200" t="str">
        <f>Sheet2!G14</f>
        <v>44 (07.11 - 20.11)</v>
      </c>
      <c r="B200" s="7">
        <f t="shared" si="39"/>
        <v>67.333333333333329</v>
      </c>
      <c r="C200" s="7">
        <f t="shared" si="40"/>
        <v>223.17000000000002</v>
      </c>
      <c r="D200" s="9">
        <f t="shared" si="38"/>
        <v>239.17000000000002</v>
      </c>
    </row>
    <row r="201" spans="1:5">
      <c r="A201" t="str">
        <f>Sheet2!G15</f>
        <v>45 (21.11 - 04.12)</v>
      </c>
      <c r="B201" s="7">
        <f t="shared" si="39"/>
        <v>71.666666666666671</v>
      </c>
      <c r="C201" s="7">
        <f t="shared" si="40"/>
        <v>212</v>
      </c>
      <c r="D201" s="9">
        <f t="shared" si="38"/>
        <v>253</v>
      </c>
    </row>
    <row r="202" spans="1:5">
      <c r="A202" t="str">
        <f>Sheet2!G16</f>
        <v>46 (05.12 - 18.12)</v>
      </c>
      <c r="B202" s="7">
        <f t="shared" si="39"/>
        <v>75.333333333333329</v>
      </c>
      <c r="C202" s="7">
        <f t="shared" si="40"/>
        <v>162</v>
      </c>
      <c r="D202" s="9">
        <f t="shared" si="38"/>
        <v>252</v>
      </c>
    </row>
    <row r="203" spans="1:5">
      <c r="A203" t="str">
        <f>Sheet2!G17</f>
        <v>47 (19.12 - 01.01)</v>
      </c>
      <c r="B203" s="7">
        <f t="shared" si="39"/>
        <v>35</v>
      </c>
      <c r="C203" s="7">
        <f t="shared" si="40"/>
        <v>126</v>
      </c>
      <c r="D203" s="9">
        <f t="shared" si="38"/>
        <v>119</v>
      </c>
    </row>
    <row r="204" spans="1:5">
      <c r="B204" s="7"/>
      <c r="C204" s="7"/>
      <c r="D204" s="9">
        <f t="shared" ref="D204:D205" si="41">(SUM(B45,B78,B111,B173))</f>
        <v>155</v>
      </c>
    </row>
    <row r="205" spans="1:5">
      <c r="B205" s="7"/>
      <c r="C205" s="7"/>
      <c r="D205" s="9">
        <f t="shared" si="41"/>
        <v>100</v>
      </c>
    </row>
    <row r="206" spans="1:5">
      <c r="A206" s="40"/>
      <c r="B206" s="41" t="s">
        <v>51</v>
      </c>
      <c r="C206" s="40" t="s">
        <v>52</v>
      </c>
      <c r="D206" s="40" t="s">
        <v>66</v>
      </c>
      <c r="E206" s="40" t="s">
        <v>55</v>
      </c>
    </row>
    <row r="207" spans="1:5">
      <c r="A207" t="s">
        <v>16</v>
      </c>
      <c r="B207" s="2">
        <f>D47</f>
        <v>1.0237891771905612</v>
      </c>
      <c r="C207" s="2">
        <f t="shared" ref="C207" si="42">E47</f>
        <v>0.98238656730275808</v>
      </c>
      <c r="D207" s="2">
        <f>G47</f>
        <v>1.0132785713299386</v>
      </c>
      <c r="E207" s="2">
        <f>I47</f>
        <v>1.0947793272720538</v>
      </c>
    </row>
    <row r="208" spans="1:5">
      <c r="A208" t="s">
        <v>32</v>
      </c>
      <c r="B208" s="2">
        <f>D113</f>
        <v>0.89616968856232959</v>
      </c>
      <c r="C208" s="2">
        <f>E113</f>
        <v>0.74220674807610243</v>
      </c>
      <c r="D208" s="2">
        <f>G113</f>
        <v>0.95871766662368185</v>
      </c>
      <c r="E208" s="2">
        <f>I113</f>
        <v>1.0862792716607677</v>
      </c>
    </row>
    <row r="209" spans="1:9">
      <c r="A209" t="s">
        <v>18</v>
      </c>
      <c r="B209" s="2">
        <f>D80</f>
        <v>0.88245780339734547</v>
      </c>
      <c r="C209" s="2">
        <f t="shared" ref="C209" si="43">E80</f>
        <v>0.7744497796579769</v>
      </c>
      <c r="D209" s="2">
        <f>G80</f>
        <v>0.78972350983821593</v>
      </c>
      <c r="E209" s="2">
        <f>I80</f>
        <v>0.9992990160150641</v>
      </c>
    </row>
    <row r="210" spans="1:9">
      <c r="A210" t="s">
        <v>73</v>
      </c>
      <c r="B210" s="2">
        <f>D175</f>
        <v>1.181827261520731</v>
      </c>
      <c r="C210" s="2">
        <f>E175</f>
        <v>1.0395014361035746</v>
      </c>
      <c r="D210" s="2">
        <f>G175</f>
        <v>1.0075641643589583</v>
      </c>
      <c r="E210" s="2">
        <f>I175</f>
        <v>1.0572892734969541</v>
      </c>
    </row>
    <row r="211" spans="1:9">
      <c r="A211" t="s">
        <v>20</v>
      </c>
      <c r="B211" s="2">
        <f>D142</f>
        <v>0</v>
      </c>
      <c r="C211" s="2">
        <f t="shared" ref="C211" si="44">E142</f>
        <v>0</v>
      </c>
      <c r="D211" s="2">
        <f>G142</f>
        <v>0</v>
      </c>
      <c r="E211" s="2">
        <f>I142</f>
        <v>0</v>
      </c>
    </row>
    <row r="216" spans="1:9" hidden="1">
      <c r="A216" s="53" t="s">
        <v>17</v>
      </c>
      <c r="B216" s="53" t="s">
        <v>17</v>
      </c>
      <c r="C216" s="53"/>
      <c r="D216" s="53"/>
      <c r="E216" s="53"/>
      <c r="F216" s="53"/>
      <c r="G216" s="53"/>
      <c r="H216" s="53"/>
      <c r="I216" s="53"/>
    </row>
    <row r="217" spans="1:9" hidden="1">
      <c r="A217" t="s">
        <v>48</v>
      </c>
      <c r="B217" t="s">
        <v>49</v>
      </c>
      <c r="C217" t="s">
        <v>50</v>
      </c>
      <c r="D217" t="s">
        <v>51</v>
      </c>
      <c r="E217" t="s">
        <v>52</v>
      </c>
      <c r="F217" t="s">
        <v>53</v>
      </c>
      <c r="G217" t="s">
        <v>66</v>
      </c>
      <c r="H217" t="s">
        <v>10</v>
      </c>
      <c r="I217" t="s">
        <v>55</v>
      </c>
    </row>
    <row r="218" spans="1:9" hidden="1">
      <c r="A218" t="s">
        <v>56</v>
      </c>
      <c r="B218">
        <v>0</v>
      </c>
      <c r="C218">
        <v>30</v>
      </c>
      <c r="D218" s="5">
        <v>0</v>
      </c>
      <c r="E218" s="3">
        <v>0</v>
      </c>
      <c r="F218">
        <v>30.5</v>
      </c>
      <c r="G218" s="3">
        <v>0</v>
      </c>
      <c r="H218">
        <v>50</v>
      </c>
      <c r="I218" s="3">
        <v>0.61</v>
      </c>
    </row>
    <row r="219" spans="1:9" hidden="1">
      <c r="A219" t="s">
        <v>57</v>
      </c>
      <c r="B219">
        <v>26</v>
      </c>
      <c r="C219">
        <v>36</v>
      </c>
      <c r="D219" s="5">
        <v>0.72222222222222221</v>
      </c>
      <c r="E219" s="3">
        <v>1.326192297883193</v>
      </c>
      <c r="F219">
        <v>31.5</v>
      </c>
      <c r="G219" s="3">
        <v>0.82539682539682535</v>
      </c>
      <c r="H219">
        <v>43</v>
      </c>
      <c r="I219" s="3">
        <v>0.73255813953488369</v>
      </c>
    </row>
    <row r="220" spans="1:9" hidden="1">
      <c r="A220" t="s">
        <v>58</v>
      </c>
      <c r="B220">
        <v>29.25</v>
      </c>
      <c r="C220">
        <v>33.25</v>
      </c>
      <c r="D220" s="5">
        <v>0.87969924812030076</v>
      </c>
      <c r="E220" s="3">
        <v>0.87752193804845136</v>
      </c>
      <c r="F220">
        <v>35.25</v>
      </c>
      <c r="G220" s="3">
        <v>0.82978723404255317</v>
      </c>
      <c r="H220">
        <v>50</v>
      </c>
      <c r="I220" s="3">
        <v>0.70499999999999996</v>
      </c>
    </row>
    <row r="221" spans="1:9" hidden="1">
      <c r="A221" t="s">
        <v>67</v>
      </c>
      <c r="B221">
        <v>4</v>
      </c>
      <c r="C221">
        <v>43.58</v>
      </c>
      <c r="D221" s="5">
        <v>9.1785222579164757E-2</v>
      </c>
      <c r="E221" s="3">
        <v>0.25877405790069546</v>
      </c>
      <c r="F221">
        <v>40.5</v>
      </c>
      <c r="G221" s="3">
        <v>9.8765432098765427E-2</v>
      </c>
      <c r="H221">
        <v>43.5</v>
      </c>
      <c r="I221" s="3">
        <v>0.93103448275862066</v>
      </c>
    </row>
    <row r="222" spans="1:9" hidden="1">
      <c r="A222" t="s">
        <v>60</v>
      </c>
      <c r="B222">
        <v>17.25</v>
      </c>
      <c r="C222">
        <v>37.5</v>
      </c>
      <c r="D222" s="5">
        <v>0.46</v>
      </c>
      <c r="E222" s="3">
        <v>0.54437869822485208</v>
      </c>
      <c r="F222">
        <v>19.25</v>
      </c>
      <c r="G222" s="3">
        <v>0.89610389610389607</v>
      </c>
      <c r="H222">
        <v>53.5</v>
      </c>
      <c r="I222" s="3">
        <v>0.35981308411214952</v>
      </c>
    </row>
    <row r="223" spans="1:9" hidden="1">
      <c r="A223" t="s">
        <v>61</v>
      </c>
      <c r="B223">
        <v>32.75</v>
      </c>
      <c r="C223">
        <v>49.17</v>
      </c>
      <c r="D223" s="5">
        <v>0.66605653853975999</v>
      </c>
      <c r="E223" s="3">
        <v>0.67777317880794696</v>
      </c>
      <c r="F223">
        <v>45.02</v>
      </c>
      <c r="G223" s="3">
        <v>0.7274544646823633</v>
      </c>
      <c r="H223">
        <v>52.5</v>
      </c>
      <c r="I223" s="3">
        <v>0.85752380952380958</v>
      </c>
    </row>
    <row r="224" spans="1:9" hidden="1">
      <c r="A224" t="s">
        <v>62</v>
      </c>
      <c r="B224">
        <v>25.67</v>
      </c>
      <c r="C224">
        <v>38.67</v>
      </c>
      <c r="D224" s="5">
        <v>0.66382208430307732</v>
      </c>
      <c r="E224" s="3">
        <v>0.52567449956483903</v>
      </c>
      <c r="F224">
        <v>40.42</v>
      </c>
      <c r="G224" s="3">
        <v>0.63508164275111334</v>
      </c>
      <c r="H224">
        <v>54.5</v>
      </c>
      <c r="I224" s="3">
        <v>0.741651376146789</v>
      </c>
    </row>
    <row r="225" spans="1:9" hidden="1">
      <c r="A225" t="s">
        <v>63</v>
      </c>
      <c r="B225">
        <v>18</v>
      </c>
      <c r="C225">
        <v>37</v>
      </c>
      <c r="D225" s="5">
        <v>0.48648648648648651</v>
      </c>
      <c r="E225" s="3">
        <v>0.59543499834601377</v>
      </c>
      <c r="F225">
        <v>42.58</v>
      </c>
      <c r="G225" s="3">
        <v>0.42273367778299675</v>
      </c>
      <c r="H225">
        <v>51.5</v>
      </c>
      <c r="I225" s="3">
        <v>0.82679611650485429</v>
      </c>
    </row>
    <row r="226" spans="1:9" hidden="1">
      <c r="A226" t="s">
        <v>64</v>
      </c>
      <c r="B226">
        <v>15</v>
      </c>
      <c r="C226">
        <v>37</v>
      </c>
      <c r="D226" s="5">
        <v>0.40540540540540543</v>
      </c>
      <c r="E226" s="3">
        <v>0.40816326530612246</v>
      </c>
      <c r="F226">
        <v>47.59</v>
      </c>
      <c r="G226" s="3">
        <v>0.31519226728304262</v>
      </c>
      <c r="H226">
        <v>54.5</v>
      </c>
      <c r="I226" s="3">
        <v>0.87321100917431194</v>
      </c>
    </row>
    <row r="227" spans="1:9" hidden="1">
      <c r="A227" t="s">
        <v>65</v>
      </c>
      <c r="B227">
        <v>23</v>
      </c>
      <c r="C227">
        <v>51</v>
      </c>
      <c r="D227" s="5">
        <v>0.45098039215686275</v>
      </c>
      <c r="E227" s="3">
        <v>0.56262230919765166</v>
      </c>
      <c r="F227">
        <v>19</v>
      </c>
      <c r="G227" s="3">
        <v>1.2105263157894737</v>
      </c>
      <c r="H227" s="9">
        <v>49.5</v>
      </c>
      <c r="I227" s="3">
        <v>0.38383838383838381</v>
      </c>
    </row>
    <row r="228" spans="1:9" hidden="1">
      <c r="A228" s="11"/>
      <c r="B228" s="11"/>
      <c r="C228" s="11"/>
      <c r="D228" s="12">
        <v>0.53627306664592</v>
      </c>
      <c r="E228" s="12">
        <v>0.64183724925330743</v>
      </c>
      <c r="F228" s="13">
        <v>35.161000000000001</v>
      </c>
      <c r="G228" s="12">
        <v>0.66233797288122553</v>
      </c>
      <c r="H228" s="11"/>
      <c r="I228" s="12">
        <v>0.74017925749796154</v>
      </c>
    </row>
    <row r="229" spans="1:9" hidden="1"/>
    <row r="230" spans="1:9" hidden="1"/>
    <row r="231" spans="1:9" hidden="1">
      <c r="A231" t="s">
        <v>15</v>
      </c>
    </row>
    <row r="232" spans="1:9" hidden="1">
      <c r="A232" t="s">
        <v>48</v>
      </c>
      <c r="B232" t="s">
        <v>49</v>
      </c>
      <c r="C232" t="s">
        <v>50</v>
      </c>
      <c r="D232" t="s">
        <v>51</v>
      </c>
      <c r="E232" t="s">
        <v>52</v>
      </c>
      <c r="F232" t="s">
        <v>53</v>
      </c>
      <c r="G232" t="s">
        <v>54</v>
      </c>
      <c r="H232" t="s">
        <v>10</v>
      </c>
      <c r="I232" t="s">
        <v>55</v>
      </c>
    </row>
    <row r="233" spans="1:9" hidden="1">
      <c r="A233" t="s">
        <v>56</v>
      </c>
      <c r="B233">
        <v>46.75</v>
      </c>
      <c r="C233">
        <v>51.75</v>
      </c>
      <c r="D233">
        <v>0.90338164251207731</v>
      </c>
      <c r="E233">
        <v>1.464751958224543</v>
      </c>
      <c r="F233">
        <v>47.5</v>
      </c>
      <c r="G233">
        <v>0.98421052631578942</v>
      </c>
      <c r="H233">
        <v>50</v>
      </c>
      <c r="I233">
        <v>0.95</v>
      </c>
    </row>
    <row r="234" spans="1:9" hidden="1">
      <c r="A234" t="s">
        <v>57</v>
      </c>
      <c r="B234">
        <v>12.67</v>
      </c>
      <c r="C234">
        <v>17.670000000000002</v>
      </c>
      <c r="D234">
        <v>0.71703452178834171</v>
      </c>
      <c r="E234">
        <v>0.72510492178557806</v>
      </c>
      <c r="F234">
        <v>50.5</v>
      </c>
      <c r="G234">
        <v>0.25089108910891089</v>
      </c>
      <c r="H234">
        <v>56.5</v>
      </c>
      <c r="I234">
        <v>0.89380530973451322</v>
      </c>
    </row>
    <row r="235" spans="1:9" hidden="1">
      <c r="A235" t="s">
        <v>58</v>
      </c>
      <c r="B235">
        <v>32</v>
      </c>
      <c r="C235">
        <v>58.75</v>
      </c>
      <c r="D235">
        <v>0.5446808510638298</v>
      </c>
      <c r="E235">
        <v>0.92236740968485775</v>
      </c>
      <c r="F235">
        <v>46</v>
      </c>
      <c r="G235">
        <v>0.69565217391304346</v>
      </c>
      <c r="H235">
        <v>56.5</v>
      </c>
      <c r="I235">
        <v>0.81415929203539827</v>
      </c>
    </row>
    <row r="236" spans="1:9" hidden="1">
      <c r="A236" t="s">
        <v>59</v>
      </c>
      <c r="B236">
        <v>30.5</v>
      </c>
      <c r="C236">
        <v>51.75</v>
      </c>
      <c r="D236">
        <v>0.58937198067632846</v>
      </c>
      <c r="E236">
        <v>1.5822237592944839</v>
      </c>
      <c r="F236">
        <v>41.75</v>
      </c>
      <c r="G236">
        <v>0.73053892215568861</v>
      </c>
      <c r="H236">
        <v>53.5</v>
      </c>
      <c r="I236">
        <v>0.78037383177570097</v>
      </c>
    </row>
    <row r="237" spans="1:9" hidden="1">
      <c r="A237" t="s">
        <v>60</v>
      </c>
      <c r="B237">
        <v>35</v>
      </c>
      <c r="C237">
        <v>42.5</v>
      </c>
      <c r="D237">
        <v>0.82352941176470584</v>
      </c>
      <c r="E237">
        <v>0.95890410958904104</v>
      </c>
      <c r="F237">
        <v>48.75</v>
      </c>
      <c r="G237">
        <v>0.71794871794871795</v>
      </c>
      <c r="H237">
        <v>53.5</v>
      </c>
      <c r="I237">
        <v>0.91121495327102808</v>
      </c>
    </row>
    <row r="238" spans="1:9" hidden="1">
      <c r="A238" t="s">
        <v>61</v>
      </c>
      <c r="B238">
        <v>59.35</v>
      </c>
      <c r="C238">
        <v>67.349999999999994</v>
      </c>
      <c r="D238">
        <v>0.88121752041573875</v>
      </c>
      <c r="E238">
        <v>1.1789048533403961</v>
      </c>
      <c r="F238">
        <v>52</v>
      </c>
      <c r="G238">
        <v>1.1413461538461538</v>
      </c>
      <c r="H238">
        <v>51.5</v>
      </c>
      <c r="I238">
        <v>1.0097087378640777</v>
      </c>
    </row>
    <row r="239" spans="1:9" hidden="1">
      <c r="A239" t="s">
        <v>62</v>
      </c>
      <c r="B239">
        <v>68.75</v>
      </c>
      <c r="C239">
        <v>67.75</v>
      </c>
      <c r="D239">
        <v>1.014760147601476</v>
      </c>
      <c r="E239">
        <v>1.2884182908545729</v>
      </c>
      <c r="F239">
        <v>54</v>
      </c>
      <c r="G239">
        <v>1.2731481481481481</v>
      </c>
      <c r="H239">
        <v>55</v>
      </c>
      <c r="I239">
        <v>0.98181818181818181</v>
      </c>
    </row>
    <row r="240" spans="1:9" hidden="1">
      <c r="A240" t="s">
        <v>63</v>
      </c>
      <c r="B240">
        <v>41.17</v>
      </c>
      <c r="C240">
        <v>46.17</v>
      </c>
      <c r="D240">
        <v>0.89170457006714321</v>
      </c>
      <c r="E240">
        <v>1.2118328100470956</v>
      </c>
      <c r="F240">
        <v>62</v>
      </c>
      <c r="G240">
        <v>0.66403225806451616</v>
      </c>
      <c r="H240">
        <v>52</v>
      </c>
      <c r="I240">
        <v>1.1923076923076923</v>
      </c>
    </row>
    <row r="241" spans="1:9" hidden="1">
      <c r="A241" t="s">
        <v>64</v>
      </c>
      <c r="B241">
        <v>41</v>
      </c>
      <c r="C241">
        <v>37</v>
      </c>
      <c r="D241">
        <v>1.1081081081081081</v>
      </c>
      <c r="E241">
        <v>0.93181818181818177</v>
      </c>
      <c r="F241">
        <v>57.25</v>
      </c>
      <c r="G241">
        <v>0.71615720524017468</v>
      </c>
      <c r="H241">
        <v>55</v>
      </c>
      <c r="I241">
        <v>1.040909090909091</v>
      </c>
    </row>
    <row r="242" spans="1:9" hidden="1">
      <c r="A242" t="s">
        <v>65</v>
      </c>
      <c r="B242">
        <v>56</v>
      </c>
      <c r="C242">
        <v>67</v>
      </c>
      <c r="D242">
        <v>0.83582089552238803</v>
      </c>
      <c r="E242">
        <v>1.1955593509820666</v>
      </c>
      <c r="F242">
        <v>63.5</v>
      </c>
      <c r="G242">
        <v>0.88188976377952755</v>
      </c>
      <c r="H242">
        <v>55</v>
      </c>
      <c r="I242">
        <v>1.1545454545454545</v>
      </c>
    </row>
    <row r="243" spans="1:9" hidden="1">
      <c r="A243" t="s">
        <v>74</v>
      </c>
      <c r="B243">
        <v>58.5</v>
      </c>
      <c r="C243">
        <v>57.5</v>
      </c>
      <c r="D243">
        <v>1.017391304347826</v>
      </c>
      <c r="E243">
        <v>1.6956521739130435</v>
      </c>
      <c r="F243">
        <v>57.5</v>
      </c>
      <c r="G243">
        <v>1.017391304347826</v>
      </c>
      <c r="H243">
        <v>42.4</v>
      </c>
      <c r="I243">
        <v>1.3561320754716981</v>
      </c>
    </row>
    <row r="244" spans="1:9" hidden="1">
      <c r="D244">
        <v>0.8782320102804132</v>
      </c>
      <c r="E244">
        <v>1.243043289774828</v>
      </c>
      <c r="F244">
        <v>52.795454545454547</v>
      </c>
      <c r="G244">
        <v>0.8822315173759584</v>
      </c>
      <c r="I244">
        <v>1.0304600787957134</v>
      </c>
    </row>
  </sheetData>
  <mergeCells count="7">
    <mergeCell ref="A146:I146"/>
    <mergeCell ref="A216:I216"/>
    <mergeCell ref="A1:I1"/>
    <mergeCell ref="A18:I18"/>
    <mergeCell ref="A51:I51"/>
    <mergeCell ref="A84:I84"/>
    <mergeCell ref="A117:I117"/>
  </mergeCells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BACB-6690-4ECF-A36C-8352F81D64A1}">
  <dimension ref="A1:N14"/>
  <sheetViews>
    <sheetView zoomScaleNormal="100" workbookViewId="0">
      <selection activeCell="E15" sqref="E15"/>
    </sheetView>
  </sheetViews>
  <sheetFormatPr defaultColWidth="8.875" defaultRowHeight="15.95"/>
  <cols>
    <col min="1" max="1" width="13.875" customWidth="1"/>
    <col min="2" max="2" width="14" customWidth="1"/>
    <col min="3" max="5" width="12.5" customWidth="1"/>
    <col min="6" max="6" width="17.125" customWidth="1"/>
    <col min="7" max="7" width="14.125" customWidth="1"/>
    <col min="8" max="8" width="22.125" customWidth="1"/>
    <col min="9" max="9" width="15.125" customWidth="1"/>
    <col min="10" max="10" width="15" customWidth="1"/>
    <col min="11" max="11" width="16.875" customWidth="1"/>
    <col min="12" max="12" width="22.625" customWidth="1"/>
    <col min="13" max="13" width="22.5" customWidth="1"/>
    <col min="20" max="20" width="16.5" customWidth="1"/>
    <col min="21" max="21" width="14.375" customWidth="1"/>
    <col min="22" max="22" width="22.875" customWidth="1"/>
  </cols>
  <sheetData>
    <row r="1" spans="1:14">
      <c r="K1" t="s">
        <v>75</v>
      </c>
      <c r="L1" t="s">
        <v>76</v>
      </c>
    </row>
    <row r="2" spans="1:14">
      <c r="B2" t="s">
        <v>24</v>
      </c>
      <c r="C2" t="s">
        <v>25</v>
      </c>
      <c r="D2" t="s">
        <v>26</v>
      </c>
      <c r="E2">
        <v>33</v>
      </c>
      <c r="F2" t="s">
        <v>77</v>
      </c>
      <c r="G2" t="s">
        <v>78</v>
      </c>
      <c r="H2" t="s">
        <v>79</v>
      </c>
      <c r="I2" t="s">
        <v>80</v>
      </c>
      <c r="K2">
        <v>0</v>
      </c>
      <c r="L2" s="3">
        <v>-1</v>
      </c>
      <c r="M2" s="3"/>
      <c r="N2" s="3">
        <v>-1</v>
      </c>
    </row>
    <row r="3" spans="1:14">
      <c r="A3" s="16" t="s">
        <v>15</v>
      </c>
      <c r="B3" s="9">
        <f>Results!B$242</f>
        <v>6.5454545454545459</v>
      </c>
      <c r="C3" s="9">
        <f>Results!B243</f>
        <v>7.0303030303030303</v>
      </c>
      <c r="D3" s="9">
        <f>Results!B244</f>
        <v>8.1818181818181817</v>
      </c>
      <c r="E3" s="9">
        <f>_xlfn.XLOOKUP(A3,Results!$A$238:$F$238,Results!$A$249:$F$249)</f>
        <v>8.7272727272727284</v>
      </c>
      <c r="F3" s="9">
        <f>AVERAGE(B3:E3)</f>
        <v>7.6212121212121211</v>
      </c>
      <c r="G3" s="3">
        <f t="shared" ref="G3:G8" si="0">VLOOKUP(F3,$K$2:$L$12,2,1)</f>
        <v>0</v>
      </c>
      <c r="H3" s="9">
        <f>AVERAGE(Model!F13,G8,G6)*G3</f>
        <v>0</v>
      </c>
      <c r="I3" s="20">
        <f>H3*245</f>
        <v>0</v>
      </c>
      <c r="K3">
        <v>1</v>
      </c>
      <c r="L3" s="3">
        <v>-0.5</v>
      </c>
      <c r="M3" s="3"/>
      <c r="N3" s="3">
        <v>-0.5</v>
      </c>
    </row>
    <row r="4" spans="1:14">
      <c r="A4" s="16" t="s">
        <v>16</v>
      </c>
      <c r="B4" s="9">
        <f>Results!C$242</f>
        <v>4.3333333333333339</v>
      </c>
      <c r="C4" s="9">
        <f>Results!C243</f>
        <v>4.4545454545454541</v>
      </c>
      <c r="D4" s="9">
        <f>Results!C244</f>
        <v>4.0909090909090908</v>
      </c>
      <c r="E4" s="9">
        <f>_xlfn.XLOOKUP(A4,Results!$A$238:$F$238,Results!$A$249:$F$249)</f>
        <v>4.6363636363636367</v>
      </c>
      <c r="F4" s="9">
        <f t="shared" ref="F4:F7" si="1">AVERAGE(B4:E4)</f>
        <v>4.3787878787878789</v>
      </c>
      <c r="G4" s="3">
        <f t="shared" si="0"/>
        <v>-0.15</v>
      </c>
      <c r="H4" s="9">
        <f>AVERAGE(Model!F30,G20,G18)*G4</f>
        <v>-5.0999999999999996</v>
      </c>
      <c r="I4" s="20">
        <f t="shared" ref="I4:I8" si="2">H4*245</f>
        <v>-1249.5</v>
      </c>
      <c r="K4">
        <v>2</v>
      </c>
      <c r="L4" s="3">
        <v>-0.3</v>
      </c>
      <c r="M4" s="3"/>
      <c r="N4" s="3">
        <v>-0.3</v>
      </c>
    </row>
    <row r="5" spans="1:14">
      <c r="A5" s="16" t="s">
        <v>17</v>
      </c>
      <c r="B5" s="9">
        <f>Results!D$242</f>
        <v>0</v>
      </c>
      <c r="C5" s="9">
        <f>Results!D243</f>
        <v>0</v>
      </c>
      <c r="D5" s="9">
        <f>Results!D244</f>
        <v>0</v>
      </c>
      <c r="E5" s="9">
        <v>0</v>
      </c>
      <c r="F5" s="9">
        <f t="shared" si="1"/>
        <v>0</v>
      </c>
      <c r="G5" s="3">
        <f t="shared" si="0"/>
        <v>-1</v>
      </c>
      <c r="H5" s="9">
        <v>0</v>
      </c>
      <c r="I5" s="20">
        <v>0</v>
      </c>
      <c r="J5">
        <f>160*245</f>
        <v>39200</v>
      </c>
      <c r="K5">
        <v>3</v>
      </c>
      <c r="L5" s="3">
        <v>-0.2</v>
      </c>
      <c r="M5" s="3"/>
      <c r="N5" s="3">
        <v>-0.2</v>
      </c>
    </row>
    <row r="6" spans="1:14">
      <c r="A6" s="16" t="s">
        <v>18</v>
      </c>
      <c r="B6" s="9">
        <f>Results!E$242</f>
        <v>2.8484848484848486</v>
      </c>
      <c r="C6" s="9">
        <f>Results!E243</f>
        <v>3.6363636363636367</v>
      </c>
      <c r="D6" s="9">
        <f>Results!E244</f>
        <v>4.121212121212122</v>
      </c>
      <c r="E6" s="9">
        <f>_xlfn.XLOOKUP(A6,Results!$A$238:$F$238,Results!$A$249:$F$249)</f>
        <v>2.5757575757575757</v>
      </c>
      <c r="F6" s="9">
        <f t="shared" si="1"/>
        <v>3.2954545454545459</v>
      </c>
      <c r="G6" s="3">
        <f t="shared" si="0"/>
        <v>-0.2</v>
      </c>
      <c r="H6" s="9">
        <f>AVERAGE(Model!F63,G31,G32)*G6</f>
        <v>-5.8500000000000005</v>
      </c>
      <c r="I6" s="20">
        <f t="shared" si="2"/>
        <v>-1433.2500000000002</v>
      </c>
      <c r="J6" s="20"/>
      <c r="K6">
        <v>4</v>
      </c>
      <c r="L6" s="3">
        <v>-0.15</v>
      </c>
      <c r="M6" s="3"/>
      <c r="N6" s="3">
        <v>-0.1</v>
      </c>
    </row>
    <row r="7" spans="1:14">
      <c r="A7" s="16" t="s">
        <v>20</v>
      </c>
      <c r="B7" s="9">
        <f>Results!F$242</f>
        <v>3.2121212121212124</v>
      </c>
      <c r="C7" s="9">
        <f>Results!F243</f>
        <v>3.454545454545455</v>
      </c>
      <c r="D7" s="9">
        <f>Results!F244</f>
        <v>7.8181818181818192</v>
      </c>
      <c r="E7" s="9">
        <f>_xlfn.XLOOKUP(A7,Results!$A$238:$F$238,Results!$A$249:$F$249)</f>
        <v>2.9090909090909092</v>
      </c>
      <c r="F7" s="9">
        <f t="shared" si="1"/>
        <v>4.3484848484848495</v>
      </c>
      <c r="G7" s="3">
        <f t="shared" si="0"/>
        <v>-0.15</v>
      </c>
      <c r="H7" s="9">
        <f>AVERAGE(Model!F129,G32,G33)*G7</f>
        <v>-2.238</v>
      </c>
      <c r="I7" s="20">
        <f t="shared" si="2"/>
        <v>-548.30999999999995</v>
      </c>
      <c r="K7">
        <v>5</v>
      </c>
      <c r="L7" s="3">
        <v>-0.1</v>
      </c>
      <c r="M7" s="3"/>
      <c r="N7" s="3">
        <v>-0.05</v>
      </c>
    </row>
    <row r="8" spans="1:14">
      <c r="A8" s="16" t="s">
        <v>32</v>
      </c>
      <c r="B8" s="9"/>
      <c r="C8" s="9"/>
      <c r="D8" s="9"/>
      <c r="E8" s="9">
        <f>_xlfn.XLOOKUP(A8,Results!$A$238:$F$238,Results!$A$249:$F$249)</f>
        <v>7.6363636363636367</v>
      </c>
      <c r="F8" s="9">
        <f t="shared" ref="F8" si="3">AVERAGE(B8:E8)</f>
        <v>7.6363636363636367</v>
      </c>
      <c r="G8" s="3">
        <f t="shared" si="0"/>
        <v>0</v>
      </c>
      <c r="H8" s="9">
        <f>AVERAGE(Model!F96,G33,G34)*G8</f>
        <v>0</v>
      </c>
      <c r="I8" s="20">
        <f t="shared" si="2"/>
        <v>0</v>
      </c>
      <c r="K8">
        <v>6</v>
      </c>
      <c r="L8" s="3">
        <v>-0.05</v>
      </c>
      <c r="M8" s="3"/>
      <c r="N8" s="3">
        <v>0</v>
      </c>
    </row>
    <row r="9" spans="1:14">
      <c r="F9" s="9"/>
      <c r="H9" t="s">
        <v>81</v>
      </c>
      <c r="I9" s="21">
        <f>SUM(I3:I8)</f>
        <v>-3231.06</v>
      </c>
      <c r="K9">
        <v>7</v>
      </c>
      <c r="L9" s="3">
        <v>0</v>
      </c>
      <c r="M9" s="3"/>
      <c r="N9" s="3">
        <v>0</v>
      </c>
    </row>
    <row r="10" spans="1:14">
      <c r="K10">
        <v>8</v>
      </c>
      <c r="L10" s="3">
        <v>0</v>
      </c>
      <c r="M10" s="3"/>
      <c r="N10" s="3">
        <v>0</v>
      </c>
    </row>
    <row r="11" spans="1:14">
      <c r="K11">
        <v>9</v>
      </c>
      <c r="L11" s="3">
        <v>0.05</v>
      </c>
      <c r="N11" s="3">
        <v>0.05</v>
      </c>
    </row>
    <row r="12" spans="1:14">
      <c r="I12" s="20">
        <f>I5*3</f>
        <v>0</v>
      </c>
      <c r="K12">
        <v>10</v>
      </c>
      <c r="L12" s="3">
        <v>0.15</v>
      </c>
      <c r="N12" s="3">
        <v>0.15</v>
      </c>
    </row>
    <row r="13" spans="1:14">
      <c r="M13" s="3"/>
    </row>
    <row r="14" spans="1:14">
      <c r="M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FC4C-6889-4706-8DC2-9A86BDE739B4}">
  <dimension ref="C2:G17"/>
  <sheetViews>
    <sheetView workbookViewId="0">
      <selection activeCell="G18" sqref="G18"/>
    </sheetView>
  </sheetViews>
  <sheetFormatPr defaultColWidth="8.875" defaultRowHeight="15.95"/>
  <cols>
    <col min="4" max="4" width="11.375" customWidth="1"/>
    <col min="5" max="5" width="12" customWidth="1"/>
    <col min="6" max="6" width="11.5" bestFit="1" customWidth="1"/>
    <col min="7" max="7" width="21.875" bestFit="1" customWidth="1"/>
  </cols>
  <sheetData>
    <row r="2" spans="3:7">
      <c r="C2" t="s">
        <v>82</v>
      </c>
      <c r="D2" s="19" t="s">
        <v>83</v>
      </c>
      <c r="E2" s="19" t="s">
        <v>84</v>
      </c>
    </row>
    <row r="3" spans="3:7">
      <c r="C3">
        <v>33</v>
      </c>
      <c r="D3" s="23">
        <v>45083</v>
      </c>
      <c r="E3" s="23">
        <v>45096</v>
      </c>
      <c r="G3" t="s">
        <v>74</v>
      </c>
    </row>
    <row r="4" spans="3:7">
      <c r="C4">
        <v>34</v>
      </c>
      <c r="D4" s="23">
        <v>45097</v>
      </c>
      <c r="E4" s="23">
        <v>45110</v>
      </c>
      <c r="F4" t="s">
        <v>85</v>
      </c>
      <c r="G4" t="s">
        <v>86</v>
      </c>
    </row>
    <row r="5" spans="3:7">
      <c r="C5">
        <v>35</v>
      </c>
      <c r="D5" s="23">
        <v>45111</v>
      </c>
      <c r="E5" s="23">
        <v>45124</v>
      </c>
      <c r="F5" t="s">
        <v>87</v>
      </c>
      <c r="G5" t="s">
        <v>88</v>
      </c>
    </row>
    <row r="6" spans="3:7">
      <c r="C6">
        <v>36</v>
      </c>
      <c r="D6" s="23">
        <v>45125</v>
      </c>
      <c r="E6" s="23">
        <v>45138</v>
      </c>
      <c r="F6" t="s">
        <v>89</v>
      </c>
      <c r="G6" t="s">
        <v>90</v>
      </c>
    </row>
    <row r="7" spans="3:7">
      <c r="C7">
        <v>37</v>
      </c>
      <c r="D7" s="23">
        <v>45139</v>
      </c>
      <c r="E7" s="23">
        <v>45152</v>
      </c>
      <c r="F7" t="s">
        <v>91</v>
      </c>
      <c r="G7" t="s">
        <v>92</v>
      </c>
    </row>
    <row r="8" spans="3:7">
      <c r="C8">
        <v>38</v>
      </c>
      <c r="D8" s="23">
        <v>45153</v>
      </c>
      <c r="E8" s="23">
        <v>45166</v>
      </c>
      <c r="F8" t="s">
        <v>93</v>
      </c>
      <c r="G8" t="s">
        <v>94</v>
      </c>
    </row>
    <row r="9" spans="3:7">
      <c r="C9">
        <v>39</v>
      </c>
      <c r="D9" s="23">
        <v>45167</v>
      </c>
      <c r="E9" s="23">
        <v>45180</v>
      </c>
      <c r="F9" t="s">
        <v>95</v>
      </c>
      <c r="G9" t="s">
        <v>96</v>
      </c>
    </row>
    <row r="10" spans="3:7">
      <c r="C10">
        <v>40</v>
      </c>
      <c r="D10" s="23">
        <v>45181</v>
      </c>
      <c r="E10" s="23">
        <v>45194</v>
      </c>
      <c r="F10" t="s">
        <v>97</v>
      </c>
      <c r="G10" t="s">
        <v>98</v>
      </c>
    </row>
    <row r="11" spans="3:7">
      <c r="C11">
        <v>41</v>
      </c>
      <c r="D11" s="23">
        <v>45195</v>
      </c>
      <c r="E11" s="23">
        <v>45208</v>
      </c>
      <c r="F11" t="s">
        <v>99</v>
      </c>
      <c r="G11" t="s">
        <v>100</v>
      </c>
    </row>
    <row r="12" spans="3:7">
      <c r="C12">
        <v>42</v>
      </c>
      <c r="D12" s="23">
        <v>45209</v>
      </c>
      <c r="E12" s="23">
        <v>45222</v>
      </c>
      <c r="F12" t="s">
        <v>101</v>
      </c>
      <c r="G12" t="s">
        <v>102</v>
      </c>
    </row>
    <row r="13" spans="3:7">
      <c r="C13">
        <v>43</v>
      </c>
      <c r="D13" s="23">
        <v>45223</v>
      </c>
      <c r="E13" s="23">
        <v>45236</v>
      </c>
      <c r="F13" t="s">
        <v>103</v>
      </c>
      <c r="G13" t="s">
        <v>104</v>
      </c>
    </row>
    <row r="14" spans="3:7">
      <c r="C14">
        <v>44</v>
      </c>
      <c r="D14" s="23">
        <v>45237</v>
      </c>
      <c r="E14" s="23">
        <v>45250</v>
      </c>
      <c r="F14" t="s">
        <v>105</v>
      </c>
      <c r="G14" t="s">
        <v>106</v>
      </c>
    </row>
    <row r="15" spans="3:7">
      <c r="C15">
        <v>45</v>
      </c>
      <c r="D15" s="23">
        <v>45251</v>
      </c>
      <c r="E15" s="23">
        <v>45264</v>
      </c>
      <c r="F15" t="s">
        <v>107</v>
      </c>
      <c r="G15" t="s">
        <v>108</v>
      </c>
    </row>
    <row r="16" spans="3:7">
      <c r="C16">
        <v>46</v>
      </c>
      <c r="D16" s="23">
        <v>45265</v>
      </c>
      <c r="E16" s="23">
        <v>45278</v>
      </c>
      <c r="F16" t="s">
        <v>109</v>
      </c>
      <c r="G16" t="s">
        <v>110</v>
      </c>
    </row>
    <row r="17" spans="3:7">
      <c r="C17">
        <v>47</v>
      </c>
      <c r="D17" s="23">
        <v>45279</v>
      </c>
      <c r="E17" s="23">
        <v>45292</v>
      </c>
      <c r="F17" t="s">
        <v>111</v>
      </c>
      <c r="G17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265E-13D9-4D0E-A7F8-4F31336F5F1B}">
  <dimension ref="A1"/>
  <sheetViews>
    <sheetView topLeftCell="A4" zoomScale="90" zoomScaleNormal="90" workbookViewId="0">
      <selection activeCell="L61" sqref="L61"/>
    </sheetView>
  </sheetViews>
  <sheetFormatPr defaultColWidth="8.875" defaultRowHeight="15.9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2927-B011-409D-906A-1875FD8D5E13}">
  <dimension ref="A34"/>
  <sheetViews>
    <sheetView workbookViewId="0"/>
  </sheetViews>
  <sheetFormatPr defaultColWidth="8.875" defaultRowHeight="15.95"/>
  <sheetData>
    <row r="3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Marek Mróz</cp:lastModifiedBy>
  <cp:revision/>
  <dcterms:created xsi:type="dcterms:W3CDTF">2023-01-04T13:16:25Z</dcterms:created>
  <dcterms:modified xsi:type="dcterms:W3CDTF">2025-07-14T05:37:33Z</dcterms:modified>
  <cp:category/>
  <cp:contentStatus/>
</cp:coreProperties>
</file>